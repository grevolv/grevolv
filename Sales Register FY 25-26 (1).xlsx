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_12j/Downloads/"/>
    </mc:Choice>
  </mc:AlternateContent>
  <xr:revisionPtr revIDLastSave="0" documentId="8_{A3A5437D-8D0E-4B53-89CF-40554EB20720}" xr6:coauthVersionLast="47" xr6:coauthVersionMax="47" xr10:uidLastSave="{00000000-0000-0000-0000-000000000000}"/>
  <bookViews>
    <workbookView xWindow="36820" yWindow="760" windowWidth="34200" windowHeight="21000" xr2:uid="{00000000-000D-0000-FFFF-FFFF00000000}"/>
  </bookViews>
  <sheets>
    <sheet name="Compiled" sheetId="13" r:id="rId1"/>
    <sheet name="Apr" sheetId="1" r:id="rId2"/>
    <sheet name="May" sheetId="2" r:id="rId3"/>
    <sheet name="Jun" sheetId="3" r:id="rId4"/>
    <sheet name="Jul" sheetId="4" r:id="rId5"/>
    <sheet name="Aug" sheetId="5" r:id="rId6"/>
    <sheet name="Sep" sheetId="6" r:id="rId7"/>
    <sheet name="Oct" sheetId="7" r:id="rId8"/>
    <sheet name="Nov" sheetId="8" r:id="rId9"/>
    <sheet name="Dec" sheetId="9" r:id="rId10"/>
    <sheet name="Jan" sheetId="10" r:id="rId11"/>
    <sheet name="Feb" sheetId="11" r:id="rId12"/>
    <sheet name="Mar" sheetId="12" r:id="rId13"/>
  </sheets>
  <definedNames>
    <definedName name="_xlnm._FilterDatabase" localSheetId="8" hidden="1">Nov!$A$3:$C$206</definedName>
    <definedName name="_xlnm._FilterDatabase" localSheetId="0" hidden="1">Compiled!$A$1:$R$1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3" i="13" l="1"/>
  <c r="D153" i="5"/>
  <c r="D206" i="6"/>
  <c r="D163" i="7"/>
  <c r="D207" i="8"/>
  <c r="D192" i="9"/>
  <c r="M503" i="13"/>
  <c r="D183" i="10"/>
  <c r="N503" i="13"/>
  <c r="O503" i="13"/>
  <c r="D189" i="11"/>
  <c r="P503" i="13"/>
  <c r="D157" i="12"/>
  <c r="L503" i="13"/>
  <c r="K503" i="13"/>
  <c r="J503" i="13"/>
  <c r="I503" i="13"/>
  <c r="H503" i="13"/>
  <c r="G503" i="13"/>
  <c r="F503" i="13"/>
  <c r="D138" i="1"/>
  <c r="D153" i="4"/>
  <c r="D130" i="3"/>
  <c r="Q3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8" i="13"/>
  <c r="Q99" i="13"/>
  <c r="Q100" i="13"/>
  <c r="Q101" i="13"/>
  <c r="Q102" i="13"/>
  <c r="Q103" i="13"/>
  <c r="Q104" i="13"/>
  <c r="Q105" i="13"/>
  <c r="Q106" i="13"/>
  <c r="Q107" i="13"/>
  <c r="Q108" i="13"/>
  <c r="Q109" i="13"/>
  <c r="Q110" i="13"/>
  <c r="Q111" i="13"/>
  <c r="Q112" i="13"/>
  <c r="Q113" i="13"/>
  <c r="Q114" i="13"/>
  <c r="Q115" i="13"/>
  <c r="Q116" i="13"/>
  <c r="Q117" i="13"/>
  <c r="Q118" i="13"/>
  <c r="Q119" i="13"/>
  <c r="Q120" i="13"/>
  <c r="Q121" i="13"/>
  <c r="Q122" i="13"/>
  <c r="Q123" i="13"/>
  <c r="Q124" i="13"/>
  <c r="Q125" i="13"/>
  <c r="Q126" i="13"/>
  <c r="Q127" i="13"/>
  <c r="Q128" i="13"/>
  <c r="Q129" i="13"/>
  <c r="Q130" i="13"/>
  <c r="Q131" i="13"/>
  <c r="Q132" i="13"/>
  <c r="Q133" i="13"/>
  <c r="Q134" i="13"/>
  <c r="Q135" i="13"/>
  <c r="Q136" i="13"/>
  <c r="Q137" i="13"/>
  <c r="Q138" i="13"/>
  <c r="Q139" i="13"/>
  <c r="Q140" i="13"/>
  <c r="Q141" i="13"/>
  <c r="Q142" i="13"/>
  <c r="Q143" i="13"/>
  <c r="Q144" i="13"/>
  <c r="Q145" i="13"/>
  <c r="Q146" i="13"/>
  <c r="Q147" i="13"/>
  <c r="Q148" i="13"/>
  <c r="Q149" i="13"/>
  <c r="Q150" i="13"/>
  <c r="Q151" i="13"/>
  <c r="Q152" i="13"/>
  <c r="Q153" i="13"/>
  <c r="Q154" i="13"/>
  <c r="Q155" i="13"/>
  <c r="Q156" i="13"/>
  <c r="Q157" i="13"/>
  <c r="Q158" i="13"/>
  <c r="Q159" i="13"/>
  <c r="Q160" i="13"/>
  <c r="Q161" i="13"/>
  <c r="Q162" i="13"/>
  <c r="Q163" i="13"/>
  <c r="Q164" i="13"/>
  <c r="Q165" i="13"/>
  <c r="Q166" i="13"/>
  <c r="Q167" i="13"/>
  <c r="Q168" i="13"/>
  <c r="Q169" i="13"/>
  <c r="Q170" i="13"/>
  <c r="Q171" i="13"/>
  <c r="Q172" i="13"/>
  <c r="Q173" i="13"/>
  <c r="Q174" i="13"/>
  <c r="Q175" i="13"/>
  <c r="Q176" i="13"/>
  <c r="Q177" i="13"/>
  <c r="Q178" i="13"/>
  <c r="Q179" i="13"/>
  <c r="Q180" i="13"/>
  <c r="Q181" i="13"/>
  <c r="Q182" i="13"/>
  <c r="Q183" i="13"/>
  <c r="Q184" i="13"/>
  <c r="Q185" i="13"/>
  <c r="Q186" i="13"/>
  <c r="Q187" i="13"/>
  <c r="Q188" i="13"/>
  <c r="Q189" i="13"/>
  <c r="Q190" i="13"/>
  <c r="Q191" i="13"/>
  <c r="Q192" i="13"/>
  <c r="Q193" i="13"/>
  <c r="Q194" i="13"/>
  <c r="Q195" i="13"/>
  <c r="Q196" i="13"/>
  <c r="Q197" i="13"/>
  <c r="Q198" i="13"/>
  <c r="Q199" i="13"/>
  <c r="Q200" i="13"/>
  <c r="Q201" i="13"/>
  <c r="Q202" i="13"/>
  <c r="Q203" i="13"/>
  <c r="Q204" i="13"/>
  <c r="Q205" i="13"/>
  <c r="Q206" i="13"/>
  <c r="Q207" i="13"/>
  <c r="Q208" i="13"/>
  <c r="Q209" i="13"/>
  <c r="Q210" i="13"/>
  <c r="Q211" i="13"/>
  <c r="Q212" i="13"/>
  <c r="Q213" i="13"/>
  <c r="Q214" i="13"/>
  <c r="Q215" i="13"/>
  <c r="Q216" i="13"/>
  <c r="Q217" i="13"/>
  <c r="Q218" i="13"/>
  <c r="Q219" i="13"/>
  <c r="Q220" i="13"/>
  <c r="Q221" i="13"/>
  <c r="Q222" i="13"/>
  <c r="Q223" i="13"/>
  <c r="Q224" i="13"/>
  <c r="Q225" i="13"/>
  <c r="Q226" i="13"/>
  <c r="Q227" i="13"/>
  <c r="Q228" i="13"/>
  <c r="Q229" i="13"/>
  <c r="Q230" i="13"/>
  <c r="Q231" i="13"/>
  <c r="Q232" i="13"/>
  <c r="Q233" i="13"/>
  <c r="Q234" i="13"/>
  <c r="Q235" i="13"/>
  <c r="Q236" i="13"/>
  <c r="Q237" i="13"/>
  <c r="Q238" i="13"/>
  <c r="Q239" i="13"/>
  <c r="Q240" i="13"/>
  <c r="Q241" i="13"/>
  <c r="Q242" i="13"/>
  <c r="Q243" i="13"/>
  <c r="Q244" i="13"/>
  <c r="Q245" i="13"/>
  <c r="Q246" i="13"/>
  <c r="Q247" i="13"/>
  <c r="Q248" i="13"/>
  <c r="Q249" i="13"/>
  <c r="Q250" i="13"/>
  <c r="Q251" i="13"/>
  <c r="Q252" i="13"/>
  <c r="Q253" i="13"/>
  <c r="Q254" i="13"/>
  <c r="Q255" i="13"/>
  <c r="Q256" i="13"/>
  <c r="Q257" i="13"/>
  <c r="Q258" i="13"/>
  <c r="Q259" i="13"/>
  <c r="Q260" i="13"/>
  <c r="Q261" i="13"/>
  <c r="Q262" i="13"/>
  <c r="Q263" i="13"/>
  <c r="Q264" i="13"/>
  <c r="Q265" i="13"/>
  <c r="Q266" i="13"/>
  <c r="Q267" i="13"/>
  <c r="Q268" i="13"/>
  <c r="Q269" i="13"/>
  <c r="Q270" i="13"/>
  <c r="Q271" i="13"/>
  <c r="Q272" i="13"/>
  <c r="Q273" i="13"/>
  <c r="Q274" i="13"/>
  <c r="Q275" i="13"/>
  <c r="Q276" i="13"/>
  <c r="Q277" i="13"/>
  <c r="Q278" i="13"/>
  <c r="Q279" i="13"/>
  <c r="Q280" i="13"/>
  <c r="Q281" i="13"/>
  <c r="Q282" i="13"/>
  <c r="Q283" i="13"/>
  <c r="Q284" i="13"/>
  <c r="Q285" i="13"/>
  <c r="Q286" i="13"/>
  <c r="Q287" i="13"/>
  <c r="Q288" i="13"/>
  <c r="Q289" i="13"/>
  <c r="Q290" i="13"/>
  <c r="Q291" i="13"/>
  <c r="Q292" i="13"/>
  <c r="Q293" i="13"/>
  <c r="Q294" i="13"/>
  <c r="Q295" i="13"/>
  <c r="Q296" i="13"/>
  <c r="Q297" i="13"/>
  <c r="Q298" i="13"/>
  <c r="Q299" i="13"/>
  <c r="Q300" i="13"/>
  <c r="Q301" i="13"/>
  <c r="Q302" i="13"/>
  <c r="Q303" i="13"/>
  <c r="Q304" i="13"/>
  <c r="Q305" i="13"/>
  <c r="Q306" i="13"/>
  <c r="Q307" i="13"/>
  <c r="Q308" i="13"/>
  <c r="Q309" i="13"/>
  <c r="Q310" i="13"/>
  <c r="Q311" i="13"/>
  <c r="Q312" i="13"/>
  <c r="Q313" i="13"/>
  <c r="Q314" i="13"/>
  <c r="Q315" i="13"/>
  <c r="Q316" i="13"/>
  <c r="Q317" i="13"/>
  <c r="Q318" i="13"/>
  <c r="Q319" i="13"/>
  <c r="Q320" i="13"/>
  <c r="Q321" i="13"/>
  <c r="Q322" i="13"/>
  <c r="Q323" i="13"/>
  <c r="Q324" i="13"/>
  <c r="Q325" i="13"/>
  <c r="Q326" i="13"/>
  <c r="Q327" i="13"/>
  <c r="Q328" i="13"/>
  <c r="Q329" i="13"/>
  <c r="Q330" i="13"/>
  <c r="Q331" i="13"/>
  <c r="Q332" i="13"/>
  <c r="Q333" i="13"/>
  <c r="Q334" i="13"/>
  <c r="Q335" i="13"/>
  <c r="Q336" i="13"/>
  <c r="Q337" i="13"/>
  <c r="Q338" i="13"/>
  <c r="Q339" i="13"/>
  <c r="Q340" i="13"/>
  <c r="Q341" i="13"/>
  <c r="Q342" i="13"/>
  <c r="Q343" i="13"/>
  <c r="Q344" i="13"/>
  <c r="Q345" i="13"/>
  <c r="Q346" i="13"/>
  <c r="Q347" i="13"/>
  <c r="Q348" i="13"/>
  <c r="Q349" i="13"/>
  <c r="Q350" i="13"/>
  <c r="Q351" i="13"/>
  <c r="Q352" i="13"/>
  <c r="Q353" i="13"/>
  <c r="Q354" i="13"/>
  <c r="Q355" i="13"/>
  <c r="Q356" i="13"/>
  <c r="Q357" i="13"/>
  <c r="Q358" i="13"/>
  <c r="Q359" i="13"/>
  <c r="Q360" i="13"/>
  <c r="Q361" i="13"/>
  <c r="Q362" i="13"/>
  <c r="Q363" i="13"/>
  <c r="Q364" i="13"/>
  <c r="Q365" i="13"/>
  <c r="Q366" i="13"/>
  <c r="Q367" i="13"/>
  <c r="Q368" i="13"/>
  <c r="Q369" i="13"/>
  <c r="Q370" i="13"/>
  <c r="Q371" i="13"/>
  <c r="Q372" i="13"/>
  <c r="Q373" i="13"/>
  <c r="Q374" i="13"/>
  <c r="Q375" i="13"/>
  <c r="Q376" i="13"/>
  <c r="Q377" i="13"/>
  <c r="Q378" i="13"/>
  <c r="Q379" i="13"/>
  <c r="Q380" i="13"/>
  <c r="Q381" i="13"/>
  <c r="Q382" i="13"/>
  <c r="Q383" i="13"/>
  <c r="Q384" i="13"/>
  <c r="Q385" i="13"/>
  <c r="Q386" i="13"/>
  <c r="Q387" i="13"/>
  <c r="Q388" i="13"/>
  <c r="Q389" i="13"/>
  <c r="Q390" i="13"/>
  <c r="Q391" i="13"/>
  <c r="Q392" i="13"/>
  <c r="Q393" i="13"/>
  <c r="Q394" i="13"/>
  <c r="Q395" i="13"/>
  <c r="Q396" i="13"/>
  <c r="Q397" i="13"/>
  <c r="Q398" i="13"/>
  <c r="Q399" i="13"/>
  <c r="Q400" i="13"/>
  <c r="Q401" i="13"/>
  <c r="Q402" i="13"/>
  <c r="Q403" i="13"/>
  <c r="Q404" i="13"/>
  <c r="Q405" i="13"/>
  <c r="Q406" i="13"/>
  <c r="Q407" i="13"/>
  <c r="Q408" i="13"/>
  <c r="Q409" i="13"/>
  <c r="Q410" i="13"/>
  <c r="Q411" i="13"/>
  <c r="Q412" i="13"/>
  <c r="Q413" i="13"/>
  <c r="Q414" i="13"/>
  <c r="Q415" i="13"/>
  <c r="Q416" i="13"/>
  <c r="Q417" i="13"/>
  <c r="Q418" i="13"/>
  <c r="Q419" i="13"/>
  <c r="Q420" i="13"/>
  <c r="Q421" i="13"/>
  <c r="Q422" i="13"/>
  <c r="Q423" i="13"/>
  <c r="Q424" i="13"/>
  <c r="Q425" i="13"/>
  <c r="Q426" i="13"/>
  <c r="Q427" i="13"/>
  <c r="Q428" i="13"/>
  <c r="Q429" i="13"/>
  <c r="Q430" i="13"/>
  <c r="Q431" i="13"/>
  <c r="Q432" i="13"/>
  <c r="Q433" i="13"/>
  <c r="Q434" i="13"/>
  <c r="Q435" i="13"/>
  <c r="Q436" i="13"/>
  <c r="Q437" i="13"/>
  <c r="Q438" i="13"/>
  <c r="Q439" i="13"/>
  <c r="Q440" i="13"/>
  <c r="Q441" i="13"/>
  <c r="Q442" i="13"/>
  <c r="Q443" i="13"/>
  <c r="Q444" i="13"/>
  <c r="Q445" i="13"/>
  <c r="Q446" i="13"/>
  <c r="Q447" i="13"/>
  <c r="Q448" i="13"/>
  <c r="Q449" i="13"/>
  <c r="Q450" i="13"/>
  <c r="Q451" i="13"/>
  <c r="Q452" i="13"/>
  <c r="Q453" i="13"/>
  <c r="Q454" i="13"/>
  <c r="Q455" i="13"/>
  <c r="Q456" i="13"/>
  <c r="Q457" i="13"/>
  <c r="Q458" i="13"/>
  <c r="Q459" i="13"/>
  <c r="Q460" i="13"/>
  <c r="Q461" i="13"/>
  <c r="Q462" i="13"/>
  <c r="Q463" i="13"/>
  <c r="Q464" i="13"/>
  <c r="Q465" i="13"/>
  <c r="Q466" i="13"/>
  <c r="Q467" i="13"/>
  <c r="Q468" i="13"/>
  <c r="Q469" i="13"/>
  <c r="Q470" i="13"/>
  <c r="Q471" i="13"/>
  <c r="Q472" i="13"/>
  <c r="Q473" i="13"/>
  <c r="Q474" i="13"/>
  <c r="Q475" i="13"/>
  <c r="Q476" i="13"/>
  <c r="Q477" i="13"/>
  <c r="Q478" i="13"/>
  <c r="Q479" i="13"/>
  <c r="Q480" i="13"/>
  <c r="Q481" i="13"/>
  <c r="Q482" i="13"/>
  <c r="Q483" i="13"/>
  <c r="Q484" i="13"/>
  <c r="Q485" i="13"/>
  <c r="Q486" i="13"/>
  <c r="Q487" i="13"/>
  <c r="Q488" i="13"/>
  <c r="Q489" i="13"/>
  <c r="Q490" i="13"/>
  <c r="Q491" i="13"/>
  <c r="Q492" i="13"/>
  <c r="Q493" i="13"/>
  <c r="Q494" i="13"/>
  <c r="Q495" i="13"/>
  <c r="Q496" i="13"/>
  <c r="Q497" i="13"/>
  <c r="Q498" i="13"/>
  <c r="Q499" i="13"/>
  <c r="Q500" i="13"/>
  <c r="Q501" i="13"/>
  <c r="Q502" i="13"/>
  <c r="Q2" i="13"/>
  <c r="Q503" i="13" s="1"/>
</calcChain>
</file>

<file path=xl/sharedStrings.xml><?xml version="1.0" encoding="utf-8"?>
<sst xmlns="http://schemas.openxmlformats.org/spreadsheetml/2006/main" count="3905" uniqueCount="943">
  <si>
    <t>S.No</t>
  </si>
  <si>
    <t>Particulars</t>
  </si>
  <si>
    <t>GSTIN/UIN</t>
  </si>
  <si>
    <t>State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</si>
  <si>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</si>
  <si>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</si>
  <si>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</si>
  <si>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</si>
  <si>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</si>
  <si>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</si>
  <si>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</si>
  <si>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</si>
  <si>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</si>
  <si>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</si>
  <si>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</si>
  <si>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</si>
  <si>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</si>
  <si>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279 RESTAURANTS AND FOODS PRIVATE LIMITED</t>
  </si>
  <si>
    <t>07AACCZ0795J1ZW</t>
  </si>
  <si>
    <t>Delhi</t>
  </si>
  <si>
    <t>A&amp;G Homecare Products</t>
  </si>
  <si>
    <t>05FGJPS8108H1Z2</t>
  </si>
  <si>
    <t>Uttrakhand</t>
  </si>
  <si>
    <t> </t>
  </si>
  <si>
    <t>A.E. MARKETING</t>
  </si>
  <si>
    <t>07AAGPK9541G1ZL</t>
  </si>
  <si>
    <t>A.P TRADERS</t>
  </si>
  <si>
    <t>03AAQPK2640E1Z1</t>
  </si>
  <si>
    <t>Punjab</t>
  </si>
  <si>
    <t>Aamir</t>
  </si>
  <si>
    <t>Other</t>
  </si>
  <si>
    <t>Aanjaneya Paper Products</t>
  </si>
  <si>
    <t>07ASLPA4695E1ZO</t>
  </si>
  <si>
    <t>ABHIJEET DUTTA</t>
  </si>
  <si>
    <t>ACCURATE METAL CREATION PRIVATE LTD</t>
  </si>
  <si>
    <t>07AAYCA3626R1ZR</t>
  </si>
  <si>
    <t>AD food services</t>
  </si>
  <si>
    <t>ADISUN INTERNATIONAL</t>
  </si>
  <si>
    <t>07AHOPB5105C1ZW</t>
  </si>
  <si>
    <t>AELIUS ENT &amp; HOSPITALITY PVT LTD</t>
  </si>
  <si>
    <t>04ABRFA5106B1ZY</t>
  </si>
  <si>
    <t>Chandigarh</t>
  </si>
  <si>
    <t>AIRPORTS AUTHORITY OF INDIA</t>
  </si>
  <si>
    <t>35AAACA6412D1ZB</t>
  </si>
  <si>
    <t>Andaman &amp; Nicobar</t>
  </si>
  <si>
    <t>Ajay basket</t>
  </si>
  <si>
    <t>Ajay Kumar</t>
  </si>
  <si>
    <t>AJAY SHARMA</t>
  </si>
  <si>
    <t>AKASH ENTERPRISES</t>
  </si>
  <si>
    <t>07CAZPG9214K1Z1</t>
  </si>
  <si>
    <t>AKHAND JYOTI TRADERS</t>
  </si>
  <si>
    <t>07EDRPK6001F1ZL</t>
  </si>
  <si>
    <t>Akiya Cafe</t>
  </si>
  <si>
    <t>AKKADIAN PROJECT</t>
  </si>
  <si>
    <t>23ASTPH7894J1ZX</t>
  </si>
  <si>
    <t>Madhya Pradesh</t>
  </si>
  <si>
    <t>AKOI SAAB</t>
  </si>
  <si>
    <t>07AAGFA8742F1ZH</t>
  </si>
  <si>
    <t>Akshya Caters</t>
  </si>
  <si>
    <t>AMA BAKERY AND CAFE</t>
  </si>
  <si>
    <t>07ABIFA7227J1ZA</t>
  </si>
  <si>
    <t>Amari Bakehouse</t>
  </si>
  <si>
    <t>Amazon</t>
  </si>
  <si>
    <t>AMBIKA SINGHAL</t>
  </si>
  <si>
    <t>Ambikeya Enterprises</t>
  </si>
  <si>
    <t>07ABPFA0660G1ZJ</t>
  </si>
  <si>
    <t>Amit catering</t>
  </si>
  <si>
    <t>AMIT Traders</t>
  </si>
  <si>
    <t>08ANVPG6747Q1ZU</t>
  </si>
  <si>
    <t>Rajasthan</t>
  </si>
  <si>
    <t>AMODA REALTORS LLP</t>
  </si>
  <si>
    <t>30ABLFA2838C1ZY</t>
  </si>
  <si>
    <t>Goa</t>
  </si>
  <si>
    <t>Anant Enterprises</t>
  </si>
  <si>
    <t>07DFDPS1661Q1ZT</t>
  </si>
  <si>
    <t>Ananya Enterprises</t>
  </si>
  <si>
    <t>Ananya Trading Company</t>
  </si>
  <si>
    <t>07KUOPS4893D1ZR</t>
  </si>
  <si>
    <t>Ancient Grain Hospitality LLP</t>
  </si>
  <si>
    <t>07ACCFA6702F1ZT</t>
  </si>
  <si>
    <t>ANIL KUMAR HARYANA</t>
  </si>
  <si>
    <t>Ankit</t>
  </si>
  <si>
    <t>ANS TRADER</t>
  </si>
  <si>
    <t>07FODPM5355E1ZW</t>
  </si>
  <si>
    <t>APEEJAY OXFORD BOOKSTORES PRIVATE LIMITED</t>
  </si>
  <si>
    <t>07AAACE9812D1ZW</t>
  </si>
  <si>
    <t>APRN FOOD WORKS LLP</t>
  </si>
  <si>
    <t>07ACFFA9534Q1ZR</t>
  </si>
  <si>
    <t>ARNCR PRIVATE LIMITED</t>
  </si>
  <si>
    <t>09AAZCA4504D1ZK</t>
  </si>
  <si>
    <t>Uttar Pradesh</t>
  </si>
  <si>
    <t>AROMA AMENITIES</t>
  </si>
  <si>
    <t>08AOAPJ7714E1Z6</t>
  </si>
  <si>
    <t>ARPAN CREATIONS</t>
  </si>
  <si>
    <t>07EHHPD4919K1Z4</t>
  </si>
  <si>
    <t>Ashish mehra</t>
  </si>
  <si>
    <t>ASHOK TRADERS</t>
  </si>
  <si>
    <t>07BCGPK4745M1Z7</t>
  </si>
  <si>
    <t>ASIAN BISTRO STEAM AND MORE ( CH )</t>
  </si>
  <si>
    <t>22FOJPD8960N1ZF</t>
  </si>
  <si>
    <t>Chhatisgarh</t>
  </si>
  <si>
    <t>Atul durga pooja</t>
  </si>
  <si>
    <t>AUDIO VISION</t>
  </si>
  <si>
    <t>19AZOPM8320J1ZT</t>
  </si>
  <si>
    <t>West Bengal</t>
  </si>
  <si>
    <t>AV PRAKRITII INTERNATIONAL -KARTANKA</t>
  </si>
  <si>
    <t>29AARCA0369E1ZH</t>
  </si>
  <si>
    <t>Karnataka</t>
  </si>
  <si>
    <t>AV Prakritii International Pvt Ltd - DL</t>
  </si>
  <si>
    <t>07AARCA0369E1ZN</t>
  </si>
  <si>
    <t>AV PRAKRITII INTERNATIONAL-Uttar Pradesh</t>
  </si>
  <si>
    <t>09AARCA0369E1ZJ</t>
  </si>
  <si>
    <t>AV PRAKRITII INTERNATIONAL-Uttarakhand</t>
  </si>
  <si>
    <t>05AARCA0369E1ZR</t>
  </si>
  <si>
    <t>Avant Guard Author Pvt Ltd</t>
  </si>
  <si>
    <t>AVI ARORA</t>
  </si>
  <si>
    <t>AWFIS SPACE SOLUTIONS LIMITED</t>
  </si>
  <si>
    <t>09AANCA1175G1ZL</t>
  </si>
  <si>
    <t>AZTEC SHIVA HANDICRAFTS &amp; ARTS PVT. LTD.</t>
  </si>
  <si>
    <t>08AACCA3071E1Z3</t>
  </si>
  <si>
    <t>B B C TRADERS Kerala</t>
  </si>
  <si>
    <t>32AAWFB9235A1ZJ</t>
  </si>
  <si>
    <t>Kerela</t>
  </si>
  <si>
    <t>Baba Arts</t>
  </si>
  <si>
    <t>07AEVPR5120D1ZE</t>
  </si>
  <si>
    <t>BABA PLASTIC</t>
  </si>
  <si>
    <t>07AGVPG9827C1Z1</t>
  </si>
  <si>
    <t>BAIJNATH JAISWAL</t>
  </si>
  <si>
    <t>BALAJI SCIENCE CORNER</t>
  </si>
  <si>
    <t>07AEOPG5261P1ZX</t>
  </si>
  <si>
    <t>BAMBOO BAE PRIVATE LIMITED UP</t>
  </si>
  <si>
    <t>09AAKCB6733G1ZH</t>
  </si>
  <si>
    <t>Bapu Barhe</t>
  </si>
  <si>
    <t>BARAMATI INDUSTRIES</t>
  </si>
  <si>
    <t>27AFQPJ4649R1ZE</t>
  </si>
  <si>
    <t>Maharashtra</t>
  </si>
  <si>
    <t>BATRA BROS FOOD AND BEVERAGES PRIVATE LIMITED-Delhi</t>
  </si>
  <si>
    <t>07AAGCB6282L2Z9</t>
  </si>
  <si>
    <t>Batra Paper Products</t>
  </si>
  <si>
    <t>07AMRPB9545L1ZF</t>
  </si>
  <si>
    <t>B'DAY COLLECTION</t>
  </si>
  <si>
    <t>07BWAPA5585P1Z4</t>
  </si>
  <si>
    <t>BEL CIBO HOSPITALITY PRIVATE LIMITED</t>
  </si>
  <si>
    <t>07AAECB9843M2Z4</t>
  </si>
  <si>
    <t>Benneluru</t>
  </si>
  <si>
    <t>BERIWAL INTERNATIONAL</t>
  </si>
  <si>
    <t>27AAAPA9215B1ZE</t>
  </si>
  <si>
    <t>Bhardwaj Trading Co.</t>
  </si>
  <si>
    <t>07CALPB4862Q1Z4</t>
  </si>
  <si>
    <t>BHAVNA'Z</t>
  </si>
  <si>
    <t>24AADPM9166A1ZX</t>
  </si>
  <si>
    <t>Gujarat</t>
  </si>
  <si>
    <t>Bheem Raj</t>
  </si>
  <si>
    <t>Bhola Guru Prasad and Trading</t>
  </si>
  <si>
    <t>23AZRPR7869N1Z4</t>
  </si>
  <si>
    <t>Big yellow door cafe</t>
  </si>
  <si>
    <t>Bikaner Sweets Corner</t>
  </si>
  <si>
    <t>07AAJFB9044Q1ZT</t>
  </si>
  <si>
    <t>BITE-N-SIP</t>
  </si>
  <si>
    <t>07AGQPG8480J1ZS</t>
  </si>
  <si>
    <t>BITTOO CHAT WALA</t>
  </si>
  <si>
    <t>07AGEPG9488L1ZQ</t>
  </si>
  <si>
    <t>BO FOODS</t>
  </si>
  <si>
    <t>Boards Ã  la carte</t>
  </si>
  <si>
    <t>BULAND COFFEE</t>
  </si>
  <si>
    <t>03AAYFD1946N1ZV</t>
  </si>
  <si>
    <t>BUNGA TEJA</t>
  </si>
  <si>
    <t>BWCA</t>
  </si>
  <si>
    <t>CAFE BAE</t>
  </si>
  <si>
    <t>20AAQFC1626A1Z6</t>
  </si>
  <si>
    <t>Jharkhand</t>
  </si>
  <si>
    <t>CAFE BROWN SUGAR PVT. LTD.</t>
  </si>
  <si>
    <t>07AAECC8026D1ZY</t>
  </si>
  <si>
    <t>Cafe Grillz (Isha Nagpal)</t>
  </si>
  <si>
    <t>CASH SALES</t>
  </si>
  <si>
    <t>CATERFIX</t>
  </si>
  <si>
    <t>06ALNPM8799C1ZH</t>
  </si>
  <si>
    <t>Haryana</t>
  </si>
  <si>
    <t>CENGAGE LEARNING INDIA PRIVATE LIMITED</t>
  </si>
  <si>
    <t>09AACCT5522B1ZO</t>
  </si>
  <si>
    <t>Chandra Graphics</t>
  </si>
  <si>
    <t>07AMHPJ6336M1ZO</t>
  </si>
  <si>
    <t>Chehak Tayal</t>
  </si>
  <si>
    <t>CHILUKURI V S RAM PRASAD</t>
  </si>
  <si>
    <t>CHIRAG FOODS</t>
  </si>
  <si>
    <t>07AADPG8375R2ZY</t>
  </si>
  <si>
    <t>Chittaranjan Park Durga Puja Samity</t>
  </si>
  <si>
    <t>Citizen Enterprises</t>
  </si>
  <si>
    <t>24AAVPM5024D3ZQ</t>
  </si>
  <si>
    <t>Classic D Art</t>
  </si>
  <si>
    <t>19BBPPS6490F1ZW</t>
  </si>
  <si>
    <t>Classic Trading Co.</t>
  </si>
  <si>
    <t>07DHSPG5455H1ZX</t>
  </si>
  <si>
    <t>CLEO JEWELLERY LLP</t>
  </si>
  <si>
    <t>06AAPFC1917K1ZA</t>
  </si>
  <si>
    <t>Clive Dental Clinic,</t>
  </si>
  <si>
    <t>32AXAPA6400F1ZF</t>
  </si>
  <si>
    <t>Coffee Shop</t>
  </si>
  <si>
    <t>COLOR VENTURE</t>
  </si>
  <si>
    <t>19AWTPM3505F1ZA</t>
  </si>
  <si>
    <t>CONFIANZA PACKAGING</t>
  </si>
  <si>
    <t>24BDEPG8721Q1Z7</t>
  </si>
  <si>
    <t>COSMOS ECO FRIENDS</t>
  </si>
  <si>
    <t>06AAHFC7866R1ZK</t>
  </si>
  <si>
    <t>CRAFTEDHAVEN ENTERPRISES PRIVATE LIMITED</t>
  </si>
  <si>
    <t>09AALCC7024J1ZE</t>
  </si>
  <si>
    <t>CRAFTPAC HOSPITALITY PRIVATE LIMITED</t>
  </si>
  <si>
    <t>09AAMCC2254M1Z9</t>
  </si>
  <si>
    <t>CREAMERY HUT INDIA</t>
  </si>
  <si>
    <t>07BXEPK7633P1ZV</t>
  </si>
  <si>
    <t>CREATIVE SUPPLIERS</t>
  </si>
  <si>
    <t>18AHUPL3197Q1Z4</t>
  </si>
  <si>
    <t>Assam</t>
  </si>
  <si>
    <t>D R S FOODS PRIVATE LIMITED</t>
  </si>
  <si>
    <t>09AAICD0008L1ZQ</t>
  </si>
  <si>
    <t>DAULAT RAM MARKETING</t>
  </si>
  <si>
    <t>07ABBPK9461H1ZJ</t>
  </si>
  <si>
    <t>Deep impex</t>
  </si>
  <si>
    <t>24AFYPR7224Q1ZD</t>
  </si>
  <si>
    <t>Deepak Jain (HUF)</t>
  </si>
  <si>
    <t>07AACHD2959P1ZU</t>
  </si>
  <si>
    <t>Deepanshu store</t>
  </si>
  <si>
    <t>Deliance Brushes ware</t>
  </si>
  <si>
    <t>Devaraja Murthy</t>
  </si>
  <si>
    <t>Devbhumi Packaging Solution</t>
  </si>
  <si>
    <t>DIGITAL PRINT POINT</t>
  </si>
  <si>
    <t>09AIBPH0786R1ZO</t>
  </si>
  <si>
    <t>Dinesh Chauhan</t>
  </si>
  <si>
    <t>DINOWARE DISPOSABLE</t>
  </si>
  <si>
    <t>06ALUPB0078J1ZY</t>
  </si>
  <si>
    <t>Divya Puri</t>
  </si>
  <si>
    <t>Dolly rana</t>
  </si>
  <si>
    <t>DOON GHATI HOSPITALITY LLP</t>
  </si>
  <si>
    <t>05AATFD7479F1ZX</t>
  </si>
  <si>
    <t>DR. ANBU PAUL HOTELS PRIVATE LIMTIED</t>
  </si>
  <si>
    <t>34AAJCA6059K1ZE</t>
  </si>
  <si>
    <t>Puducherry</t>
  </si>
  <si>
    <t>Dr.avishka</t>
  </si>
  <si>
    <t>Dravidam Cafe</t>
  </si>
  <si>
    <t>09AAKCT4608C1ZD</t>
  </si>
  <si>
    <t>Durga Puja Samiti</t>
  </si>
  <si>
    <t>Earth First Trading and Retail Private Limited</t>
  </si>
  <si>
    <t>07AAECC0348L2ZN</t>
  </si>
  <si>
    <t>Easy Bake Private Limited</t>
  </si>
  <si>
    <t>09AAECE1941R2Z4</t>
  </si>
  <si>
    <t>ECOZY FUTURE SOLUTIONS</t>
  </si>
  <si>
    <t>07AALFE5490R1ZK</t>
  </si>
  <si>
    <t>EGRO Communications</t>
  </si>
  <si>
    <t>EKATRA HOSPITALITY VENTURES PVT. LTD.</t>
  </si>
  <si>
    <t>07AACCE7638K1ZB</t>
  </si>
  <si>
    <t>ENSO MART</t>
  </si>
  <si>
    <t>01HVIPD7005Q1ZG</t>
  </si>
  <si>
    <t>Jammu &amp; Kashmir</t>
  </si>
  <si>
    <t>EPIPHANY HOSPITALITY PVT LTD</t>
  </si>
  <si>
    <t>07AABCE8620J1ZM</t>
  </si>
  <si>
    <t>ESPARK RETAIL</t>
  </si>
  <si>
    <t>33BOSPA1013C2ZQ</t>
  </si>
  <si>
    <t>Tamil Nadu</t>
  </si>
  <si>
    <t>EZELLOHUB</t>
  </si>
  <si>
    <t>07AHJPK1732D1ZP</t>
  </si>
  <si>
    <t>Fairmed India</t>
  </si>
  <si>
    <t>32AEPPA7426K1ZG</t>
  </si>
  <si>
    <t>FERVENT COMMUNICATION PVT LTD</t>
  </si>
  <si>
    <t>07AABCF7317B1Z2</t>
  </si>
  <si>
    <t>Finefood Crafters India Private Limited</t>
  </si>
  <si>
    <t>06AAFCF2464F1ZU</t>
  </si>
  <si>
    <t>FLAVOR PALATE PRIVATE LIMITED</t>
  </si>
  <si>
    <t>06AACCF8988R1ZJ</t>
  </si>
  <si>
    <t>FLIPKART</t>
  </si>
  <si>
    <t>Floralingo</t>
  </si>
  <si>
    <t>07AJFPG9667H1ZU</t>
  </si>
  <si>
    <t>FRESHGEN INDIA</t>
  </si>
  <si>
    <t>09AJTPT4962A1ZP</t>
  </si>
  <si>
    <t>FRESHGEN INTERNATIONAL</t>
  </si>
  <si>
    <t>09BDDPT2357J1Z5</t>
  </si>
  <si>
    <t>GAEA HOMES PRIVATE LIMITED</t>
  </si>
  <si>
    <t>36AALCG7754K1ZY</t>
  </si>
  <si>
    <t>Telangana</t>
  </si>
  <si>
    <t>GALAXY GREEN TECH LLP</t>
  </si>
  <si>
    <t>24AAXFG6448D1Z3</t>
  </si>
  <si>
    <t>Ganga Industries</t>
  </si>
  <si>
    <t>01AMLPK1431C1ZU</t>
  </si>
  <si>
    <t>Garima Polymers</t>
  </si>
  <si>
    <t>07AVQPA6654F1ZG</t>
  </si>
  <si>
    <t>GAURAV ASIJA</t>
  </si>
  <si>
    <t>Gayatri Enterprises</t>
  </si>
  <si>
    <t>10HLMPS9697M1ZW</t>
  </si>
  <si>
    <t>Bihar</t>
  </si>
  <si>
    <t>Gem International</t>
  </si>
  <si>
    <t>09AHOPR7967E1ZI</t>
  </si>
  <si>
    <t>Uttar Prdesh</t>
  </si>
  <si>
    <t>Gempack International LLP</t>
  </si>
  <si>
    <t>09ABCFG1387M1ZZ</t>
  </si>
  <si>
    <t>Girish Gupta</t>
  </si>
  <si>
    <t>Global Packaging Solutions</t>
  </si>
  <si>
    <t>07DJJPS0025Q1ZQ</t>
  </si>
  <si>
    <t>Global Solutions</t>
  </si>
  <si>
    <t>09ARLPK0495M1Z5</t>
  </si>
  <si>
    <t>GMK ASSOCIATES</t>
  </si>
  <si>
    <t>07AAGPG7147Q1Z6</t>
  </si>
  <si>
    <t>Go Green Packers</t>
  </si>
  <si>
    <t>01AINPG6420B1ZZ</t>
  </si>
  <si>
    <t>GOBBLR</t>
  </si>
  <si>
    <t>GOPAL CHANDRA AGARWAL</t>
  </si>
  <si>
    <t>05AAOPA4422A1ZH</t>
  </si>
  <si>
    <t>Grace the Space</t>
  </si>
  <si>
    <t>07AYLPA1255A1Z2</t>
  </si>
  <si>
    <t>Greentech Industries</t>
  </si>
  <si>
    <t>27AAFFG8275Q2ZI</t>
  </si>
  <si>
    <t>GRTN ENTERPRISES</t>
  </si>
  <si>
    <t>07CWWPB1458B1ZL</t>
  </si>
  <si>
    <t>Grub Soul Private Limited</t>
  </si>
  <si>
    <t>06AAJCG0157G2ZS</t>
  </si>
  <si>
    <t>Gulab plastic</t>
  </si>
  <si>
    <t>23AOAPB1256P1Z6</t>
  </si>
  <si>
    <t>Gupta Chat Corner -Preet  Vihar</t>
  </si>
  <si>
    <t>GUPTA ENTERPRISES</t>
  </si>
  <si>
    <t>09AKDPG1010D1Z1</t>
  </si>
  <si>
    <t>Guruji traders</t>
  </si>
  <si>
    <t>GUUNFUN TRADE LINK</t>
  </si>
  <si>
    <t>03ENGPS8138Q1Z6</t>
  </si>
  <si>
    <t>H.K OFFICE SOLUTIONS</t>
  </si>
  <si>
    <t>06AALFH2720F1ZP</t>
  </si>
  <si>
    <t>Hare Krishna</t>
  </si>
  <si>
    <t>Hare Krishna Art</t>
  </si>
  <si>
    <t>08CNOPJ8124R1Z3</t>
  </si>
  <si>
    <t>HARYANA JEWELLERS PRIVATE LIMITED</t>
  </si>
  <si>
    <t>07AABCH7315P1Z9</t>
  </si>
  <si>
    <t>HaskoningDHV Consulting Pvt. Ltd.</t>
  </si>
  <si>
    <t>09AAACM8966G1Z1</t>
  </si>
  <si>
    <t>HEDIT PACKAGING AND DINE IN</t>
  </si>
  <si>
    <t>07AWRPJ7410Q1ZT</t>
  </si>
  <si>
    <t>Hemraj Purohit</t>
  </si>
  <si>
    <t>Himanshu Saxena</t>
  </si>
  <si>
    <t>Hindiar Business Combine</t>
  </si>
  <si>
    <t>07ASKPS3561N1Z1</t>
  </si>
  <si>
    <t>HOSPITALITY FOODS PACKAGING</t>
  </si>
  <si>
    <t>07ARJPJ8386J1Z4</t>
  </si>
  <si>
    <t>HOTEL KRISTAR LLP</t>
  </si>
  <si>
    <t>24AAKFH8374E1Z8</t>
  </si>
  <si>
    <t>HOTEL MN STAYS</t>
  </si>
  <si>
    <t>37AHCPV6052A1ZH</t>
  </si>
  <si>
    <t>Andhra Pradesh</t>
  </si>
  <si>
    <t>IBA CRAFTS PVT LTD</t>
  </si>
  <si>
    <t>09AACCI8341K1Z9</t>
  </si>
  <si>
    <t>IMMUBACK PVT LTD</t>
  </si>
  <si>
    <t>IMPRESARIO ENTERTAINMENT &amp; HOSPITALITY PVT LTD</t>
  </si>
  <si>
    <t>09AAACI7871E1ZF</t>
  </si>
  <si>
    <t>IMPRESARIO ENTERTAINMENT &amp; HOSPITALITY PVT LTD- MH</t>
  </si>
  <si>
    <t>27AAACI7871E1ZH</t>
  </si>
  <si>
    <t>Impresario Entertainment &amp; Hospitality Pvt Ltd-Noid</t>
  </si>
  <si>
    <t>IMPRESARIO ENTERTAINMENT AND HOSPITALITY PVT LTD</t>
  </si>
  <si>
    <t>07AAACI7871E1ZJ</t>
  </si>
  <si>
    <t>IMPRESARIO ENTERTAINMENT-HARYANA</t>
  </si>
  <si>
    <t>06AAACI7871E1ZL</t>
  </si>
  <si>
    <t>INCART INDIA</t>
  </si>
  <si>
    <t>07AFIPJ0387A1ZS</t>
  </si>
  <si>
    <t>INDIA TOURISM DEVELOPMENT CORPORATION LTD</t>
  </si>
  <si>
    <t>07AAACI0825J2ZR</t>
  </si>
  <si>
    <t>INDIAN CROCKERY COMPANY</t>
  </si>
  <si>
    <t>07AKDPJ8327L1ZV</t>
  </si>
  <si>
    <t>Indian Space Research Organisation</t>
  </si>
  <si>
    <t>33AAAGI0056H1ZV</t>
  </si>
  <si>
    <t>INDIAN STATISTICAL INSTITUTE - KOLKATA</t>
  </si>
  <si>
    <t>19AAAAI0345R1ZC</t>
  </si>
  <si>
    <t>Indo Fusion Cocktail Services</t>
  </si>
  <si>
    <t>07AAGFI0479M1Z0</t>
  </si>
  <si>
    <t>Indraprastha Matri Mandir Nirman Society</t>
  </si>
  <si>
    <t>INDUS CULINARY TEAM PVT LTD</t>
  </si>
  <si>
    <t>07AADCI3905J1ZM</t>
  </si>
  <si>
    <t>INFINITY</t>
  </si>
  <si>
    <t>07ANYPV6476A1Z9</t>
  </si>
  <si>
    <t>INNOVATIVE RETAIL CONCEPTS PRIVATE LIMITED</t>
  </si>
  <si>
    <t>29AACCI2053A1Z3</t>
  </si>
  <si>
    <t>INSTANT HOST</t>
  </si>
  <si>
    <t>07AAAFI1916K1ZI</t>
  </si>
  <si>
    <t>IPSHITA SALES PRIVATE LIMITED</t>
  </si>
  <si>
    <t>07AAECI4330A1Z7</t>
  </si>
  <si>
    <t>ISRO PROPULSION COMPLEX</t>
  </si>
  <si>
    <t>33MRIL00160G1DX</t>
  </si>
  <si>
    <t>J SQUARE DESIGNS</t>
  </si>
  <si>
    <t>07AFBPJ8153R1ZW</t>
  </si>
  <si>
    <t>J. M. D. ENTEPRISES</t>
  </si>
  <si>
    <t>Jagat Singh &amp; Sons Agencies Retail</t>
  </si>
  <si>
    <t>04AANFJ9150H1Z7</t>
  </si>
  <si>
    <t>Jagdamba printers</t>
  </si>
  <si>
    <t>07ACZPN6700F1ZA</t>
  </si>
  <si>
    <t>JAGDISH TRADER</t>
  </si>
  <si>
    <t>JAI MAA KAILA DEVI TRADER-AGRA</t>
  </si>
  <si>
    <t>09BJPPM2146C2Z6</t>
  </si>
  <si>
    <t>JANTA FROZEN FOOD</t>
  </si>
  <si>
    <t>03CLMPG3264M1ZX</t>
  </si>
  <si>
    <t>JASH MANUFACTURE INDUSTRY PRIVATE LIMITED</t>
  </si>
  <si>
    <t>05AAECJ0982D1ZU</t>
  </si>
  <si>
    <t>JATIN KHANNA</t>
  </si>
  <si>
    <t>JIVRAJ TEA LTD</t>
  </si>
  <si>
    <t>24AAACJ5895P2ZU</t>
  </si>
  <si>
    <t>JK SALES</t>
  </si>
  <si>
    <t>JMB CATERERS</t>
  </si>
  <si>
    <t>23ABGPJ2972F2ZU</t>
  </si>
  <si>
    <t>JMB GOURMET FOODS PRIVATE LIMITED</t>
  </si>
  <si>
    <t>23AAHCJ0172C1Z5</t>
  </si>
  <si>
    <t>JOY ENTERPRISES</t>
  </si>
  <si>
    <t>07AACPC8951G1ZT</t>
  </si>
  <si>
    <t>JSB ENTERPRISES</t>
  </si>
  <si>
    <t>07BISPB9283M1ZG</t>
  </si>
  <si>
    <t>JYOTI DIE CUTTING</t>
  </si>
  <si>
    <t>09AFFPY4924F2Z2</t>
  </si>
  <si>
    <t>JYOTI TRADERS</t>
  </si>
  <si>
    <t>09ACVPB5561G1ZB</t>
  </si>
  <si>
    <t>KALAKARAM INDIA PRIVATE LIMITED</t>
  </si>
  <si>
    <t>06AAJCK4037D1ZS</t>
  </si>
  <si>
    <t>KALANDAK</t>
  </si>
  <si>
    <t>07AAZFK9275G1ZG</t>
  </si>
  <si>
    <t>KALORIE METER</t>
  </si>
  <si>
    <t>09ABBFK7053M1ZX</t>
  </si>
  <si>
    <t>KAMAL CHAT HOUSE</t>
  </si>
  <si>
    <t>03AOHPC6182J1Z1</t>
  </si>
  <si>
    <t>Kamlesh Asati</t>
  </si>
  <si>
    <t>Kandissira Condiment India Private Limited</t>
  </si>
  <si>
    <t>33ABECS3122R2Z4</t>
  </si>
  <si>
    <t>KAPOOR SONS</t>
  </si>
  <si>
    <t>09ALDPK5531A1ZJ</t>
  </si>
  <si>
    <t>KASHMIR KUMAR</t>
  </si>
  <si>
    <t>KASTHURI PACKS</t>
  </si>
  <si>
    <t>33BOMPS2430H2ZX</t>
  </si>
  <si>
    <t>KCC INSTITUTES</t>
  </si>
  <si>
    <t>KESHAR MARKETING</t>
  </si>
  <si>
    <t>27AOCPS7572R1ZW</t>
  </si>
  <si>
    <t>Khalsa Disposible</t>
  </si>
  <si>
    <t>05BSRPK9211R1ZY</t>
  </si>
  <si>
    <t>Kiana</t>
  </si>
  <si>
    <t>27BFTPB5451F1ZD</t>
  </si>
  <si>
    <t>Maharshtra</t>
  </si>
  <si>
    <t>Kirat Enterprises</t>
  </si>
  <si>
    <t>07ABCFK0256B1ZW</t>
  </si>
  <si>
    <t>KITCHEN SCIENCE FOOD</t>
  </si>
  <si>
    <t>06ARAPM0639G1Z3</t>
  </si>
  <si>
    <t>Kitchnrama Food Service Equipment Pvt. Ltd.</t>
  </si>
  <si>
    <t>07AACCK0323P1ZJ</t>
  </si>
  <si>
    <t>Koli Traders</t>
  </si>
  <si>
    <t>07AOCPK8700R1ZI</t>
  </si>
  <si>
    <t>KRISHNA ENTERPRISES</t>
  </si>
  <si>
    <t>07AAPFK2104C1ZS</t>
  </si>
  <si>
    <t>Krishna Enterprise-WB</t>
  </si>
  <si>
    <t>19AVDPG7921Q1ZZ</t>
  </si>
  <si>
    <t>KSM FOODS PRIVATE LIMITED</t>
  </si>
  <si>
    <t>06AAECK2973K1Z9</t>
  </si>
  <si>
    <t>KULDEEP</t>
  </si>
  <si>
    <t>KUMAR BROTHERS</t>
  </si>
  <si>
    <t>09ANBPK9653R1Z3</t>
  </si>
  <si>
    <t>Kumar Confectionery Store</t>
  </si>
  <si>
    <t>05AANFK1275A1ZO</t>
  </si>
  <si>
    <t>Kushalgouda N Patil</t>
  </si>
  <si>
    <t>LAKSH CREATIONS</t>
  </si>
  <si>
    <t>07CZOPC2538L1Z2</t>
  </si>
  <si>
    <t>LAKSHMI POLY PACKS</t>
  </si>
  <si>
    <t>03AJUPR0413M1ZZ</t>
  </si>
  <si>
    <t>LAXMI STORES</t>
  </si>
  <si>
    <t>08ABCPG1809Q1ZH</t>
  </si>
  <si>
    <t>Lazer E-Commerce Ventures Private Limited</t>
  </si>
  <si>
    <t>27AAFCN5884P1ZJ</t>
  </si>
  <si>
    <t>LEAT HOSPITALITY LLP</t>
  </si>
  <si>
    <t>07AAIFL9304N1ZV</t>
  </si>
  <si>
    <t>LEO TRADERS</t>
  </si>
  <si>
    <t>07CSZPR9749A2ZT</t>
  </si>
  <si>
    <t>Little Berry</t>
  </si>
  <si>
    <t>07CICPG5867R1ZI</t>
  </si>
  <si>
    <t>M. S. Trading Co.</t>
  </si>
  <si>
    <t>09ACTPR9466N1Z6</t>
  </si>
  <si>
    <t>M/S A M TRADING COMPANY</t>
  </si>
  <si>
    <t>08BLZPM3154Q1Z0</t>
  </si>
  <si>
    <t>M/s B D C</t>
  </si>
  <si>
    <t>09CYXPG5404M1ZQ</t>
  </si>
  <si>
    <t>M/S JAI DURGA INTERNATIONAL</t>
  </si>
  <si>
    <t>09BOLPS5767Q1ZL</t>
  </si>
  <si>
    <t>M/S MAMA AGRO</t>
  </si>
  <si>
    <t>M/S MATES</t>
  </si>
  <si>
    <t>01AVZPD3261E1ZT</t>
  </si>
  <si>
    <t>M/s Ranch Cuisine Concepts Pvt. Ltd</t>
  </si>
  <si>
    <t>07AAACF3491M1ZD</t>
  </si>
  <si>
    <t>M/S SEVENTH HEAVEN</t>
  </si>
  <si>
    <t>09AKRPN8755G1ZC</t>
  </si>
  <si>
    <t>M/S VINAY AND SONS</t>
  </si>
  <si>
    <t>09CHBPG7006C1ZU</t>
  </si>
  <si>
    <t>MAA PADMAVATI GARMENTS</t>
  </si>
  <si>
    <t>09AKTPG8096P1ZW</t>
  </si>
  <si>
    <t>MAHADEV ENTERPRISES</t>
  </si>
  <si>
    <t>36AZLPC1788R2ZJ</t>
  </si>
  <si>
    <t>MAHENDRAVARMAN</t>
  </si>
  <si>
    <t>Makerobos Innovation Labs Private Limited</t>
  </si>
  <si>
    <t>08AALCM8746P1ZF</t>
  </si>
  <si>
    <t>Manik Sharma</t>
  </si>
  <si>
    <t>Manish Sarna</t>
  </si>
  <si>
    <t>Manisha Sen</t>
  </si>
  <si>
    <t>MANJAL</t>
  </si>
  <si>
    <t>32ABBFM0371Q1Z7</t>
  </si>
  <si>
    <t>MANOJ</t>
  </si>
  <si>
    <t>MAR LOPEZ</t>
  </si>
  <si>
    <t>MASSIVE ENTERPRISE</t>
  </si>
  <si>
    <t>07AXVPA5643H1Z8</t>
  </si>
  <si>
    <t>Matru Mal Kanhaiya Lal</t>
  </si>
  <si>
    <t>09AACFM3747Q1ZN</t>
  </si>
  <si>
    <t>MAYUR PACKAGING</t>
  </si>
  <si>
    <t>36AYCPG6088L1Z0</t>
  </si>
  <si>
    <t>Meals N Memories</t>
  </si>
  <si>
    <t>19ABXFM4481D1ZP</t>
  </si>
  <si>
    <t>MEERA SLUSH AND SOFTY</t>
  </si>
  <si>
    <t>MEGHWANI STORES</t>
  </si>
  <si>
    <t>22AIXPM2893A1Z4</t>
  </si>
  <si>
    <t>MERCIDILE RESTAURANTS PRIVATE LIMITED</t>
  </si>
  <si>
    <t>09AATCM3889R1ZZ</t>
  </si>
  <si>
    <t>Mittal Memorial Educational Society</t>
  </si>
  <si>
    <t>MIXER LABS IT SERVICES PRIVATE LIMITED</t>
  </si>
  <si>
    <t>27AAICM2618R1ZV</t>
  </si>
  <si>
    <t>Mohd Arif</t>
  </si>
  <si>
    <t>MOHIT</t>
  </si>
  <si>
    <t>MOHIT JODHPUR</t>
  </si>
  <si>
    <t>Mohit-J</t>
  </si>
  <si>
    <t>MORE STORES</t>
  </si>
  <si>
    <t>07ACBPJ2239D1Z4</t>
  </si>
  <si>
    <t>Mr Littiwala</t>
  </si>
  <si>
    <t>07BHPPS0765K1ZO</t>
  </si>
  <si>
    <t>Mr. Shameen House</t>
  </si>
  <si>
    <t>MUKESH ENTERPRISES</t>
  </si>
  <si>
    <t>07CPPPK1000L1ZY</t>
  </si>
  <si>
    <t>N G TRADERS</t>
  </si>
  <si>
    <t>07AHWPG4526C1ZC</t>
  </si>
  <si>
    <t>N K Sales</t>
  </si>
  <si>
    <t>08FSXPS9844G1ZI</t>
  </si>
  <si>
    <t>N.P.ENTERPRISES</t>
  </si>
  <si>
    <t>33ACJPU9768J1ZP</t>
  </si>
  <si>
    <t>NAGPAL TRADERS</t>
  </si>
  <si>
    <t>07AAFPN4695M1Z1</t>
  </si>
  <si>
    <t>NAKUSH INTERNATIONAL</t>
  </si>
  <si>
    <t>07AKCPM0399L1ZT</t>
  </si>
  <si>
    <t>Navkar Traders</t>
  </si>
  <si>
    <t>NEATGOODS</t>
  </si>
  <si>
    <t>NEERAJ TEXTILES</t>
  </si>
  <si>
    <t>07ACVPK0270B1ZS</t>
  </si>
  <si>
    <t>NEHRU PLACE HOTELS PRIVATE LIMITED</t>
  </si>
  <si>
    <t>07AAACN3230C1Z5</t>
  </si>
  <si>
    <t>New Oxford Public School</t>
  </si>
  <si>
    <t>Nexa ventures</t>
  </si>
  <si>
    <t>09AAYFN3509R1Z6</t>
  </si>
  <si>
    <t>NIKTAN PRODUCTS PRIVATE LIMITED</t>
  </si>
  <si>
    <t>06AAJCN8667Q1ZE</t>
  </si>
  <si>
    <t>Nimoco Metals Private Limited</t>
  </si>
  <si>
    <t>NIVTARA FOODS INDIA PRIVATE LIMITED</t>
  </si>
  <si>
    <t>07AAJCN3509R1ZV</t>
  </si>
  <si>
    <t>NJ OVERSEAS PRIVATE LIMITED</t>
  </si>
  <si>
    <t>09AAECN2404L1ZG</t>
  </si>
  <si>
    <t>NK TRADING COMPANY</t>
  </si>
  <si>
    <t>07AKZPV3874C1ZE</t>
  </si>
  <si>
    <t>Not Just Chaai</t>
  </si>
  <si>
    <t>NUTRITHY WELLNESS LLP</t>
  </si>
  <si>
    <t>OCCASION'S-PERSONAL CHEF</t>
  </si>
  <si>
    <t>27AAFFO9052P1ZK</t>
  </si>
  <si>
    <t>Olive Bar and Kitchen Pvt. Ltd.</t>
  </si>
  <si>
    <t>07AAACO5346G1ZJ</t>
  </si>
  <si>
    <t>OM GURU DEV GENERAL STORES</t>
  </si>
  <si>
    <t>37BLCPK9711L1ZR</t>
  </si>
  <si>
    <t>Omkar Furnishers</t>
  </si>
  <si>
    <t>07ABKPS5384E2Z9</t>
  </si>
  <si>
    <t>Oorja.kitchen</t>
  </si>
  <si>
    <t>Oval Bean Hospitality Private Limited</t>
  </si>
  <si>
    <t>07AADCO2615D1ZW</t>
  </si>
  <si>
    <t>PACKFO SOLUTIONS</t>
  </si>
  <si>
    <t>07CLOPG8300A2ZG</t>
  </si>
  <si>
    <t>pankaj saraswat</t>
  </si>
  <si>
    <t>PANKAJ STORE</t>
  </si>
  <si>
    <t>20CINPG8322A1ZU</t>
  </si>
  <si>
    <t>PAO JEE</t>
  </si>
  <si>
    <t>06ABGCS6044Q1ZR</t>
  </si>
  <si>
    <t>PARASH NATH ENTERPRISES</t>
  </si>
  <si>
    <t>07AFWPJ6105Q1ZP</t>
  </si>
  <si>
    <t>PAULSONS BEAUTY AND FASHION PRIVATE LIMITED</t>
  </si>
  <si>
    <t>29AAGCP0765Q1ZO</t>
  </si>
  <si>
    <t>PERFECT STATIONERS</t>
  </si>
  <si>
    <t>07AAZPG7973K1ZP</t>
  </si>
  <si>
    <t>PINE TREE HOSPITALITY</t>
  </si>
  <si>
    <t>06AAKFP5485A1Z8</t>
  </si>
  <si>
    <t>Piyush Kumar</t>
  </si>
  <si>
    <t>PIZZA GALLERIA EXPRESS PRIVATE LIMITED</t>
  </si>
  <si>
    <t>06AAPCP9466K1ZJ</t>
  </si>
  <si>
    <t>Prahlad Goyal</t>
  </si>
  <si>
    <t>PRANEESHA FOOD AND BEVERAGE PRIVATE Ltd</t>
  </si>
  <si>
    <t>33AANCP6060B1ZN</t>
  </si>
  <si>
    <t>PRAVEEN</t>
  </si>
  <si>
    <t>Pravina Menon</t>
  </si>
  <si>
    <t>PRINT O CREATION</t>
  </si>
  <si>
    <t>07BTZPK2157D1ZE</t>
  </si>
  <si>
    <t>Printers point</t>
  </si>
  <si>
    <t>29AMDPR4763Q1Z3</t>
  </si>
  <si>
    <t>PROCAM INTERNATIONAL PRIVATE LIMITED</t>
  </si>
  <si>
    <t>27AABCP7300E1ZT</t>
  </si>
  <si>
    <t>PROFESSIONAL MARKETING</t>
  </si>
  <si>
    <t>08DNHPK6444M1ZF</t>
  </si>
  <si>
    <t>Profile Overseas</t>
  </si>
  <si>
    <t>03AFXPA5849M1ZW</t>
  </si>
  <si>
    <t>PROKITCHEN PRIVATE LIMITED</t>
  </si>
  <si>
    <t>06AAOCP0821H1ZI</t>
  </si>
  <si>
    <t>PUNCHES INDIA</t>
  </si>
  <si>
    <t>09BJTPS1586G1ZF</t>
  </si>
  <si>
    <t>Quicc Bites</t>
  </si>
  <si>
    <t>27APFPD2425Q1ZQ</t>
  </si>
  <si>
    <t>QURIO HOSPITALITY PRIVATE LIMITED</t>
  </si>
  <si>
    <t>24AAACQ8020F1ZU</t>
  </si>
  <si>
    <t>Qutab Entertainment Pvt Ltd</t>
  </si>
  <si>
    <t>07AAACQ3433G1ZP</t>
  </si>
  <si>
    <t>R B S Company</t>
  </si>
  <si>
    <t>07DWHPS7216C1ZG</t>
  </si>
  <si>
    <t>R&amp;R Consulting</t>
  </si>
  <si>
    <t>06AAQFR9168L1Z9</t>
  </si>
  <si>
    <t>R.B.ENGINEERING WORKS</t>
  </si>
  <si>
    <t>21ADPPR2804R2Z1</t>
  </si>
  <si>
    <t>Orissa</t>
  </si>
  <si>
    <t>R.C.ROPE STORE</t>
  </si>
  <si>
    <t>09AAXPC6598A1Z9</t>
  </si>
  <si>
    <t>R.K TRADERS</t>
  </si>
  <si>
    <t>09GJOPK7534Q1Z2</t>
  </si>
  <si>
    <t>R.R PHARMA</t>
  </si>
  <si>
    <t>36AAXFR4041F1ZY</t>
  </si>
  <si>
    <t>R.S.ENTERPRISES-DELHI</t>
  </si>
  <si>
    <t>07ADNPT2658K1ZU</t>
  </si>
  <si>
    <t>RAAG</t>
  </si>
  <si>
    <t>09AAZFR7812C1ZQ</t>
  </si>
  <si>
    <t>Radisson Blu Hotel</t>
  </si>
  <si>
    <t>07AAICN5657P1ZN</t>
  </si>
  <si>
    <t>RAHI IMPEX</t>
  </si>
  <si>
    <t>07BBHPB8870L1Z9</t>
  </si>
  <si>
    <t>RAHUL SHARMA</t>
  </si>
  <si>
    <t>Rahul Traders</t>
  </si>
  <si>
    <t>01ANGPJ8193E1Z5</t>
  </si>
  <si>
    <t>Rajesh nayer</t>
  </si>
  <si>
    <t>Rajesh Singh</t>
  </si>
  <si>
    <t>Rajprasad Bhagwan Patil</t>
  </si>
  <si>
    <t>Rakshak Securitas Pvt. Ltd.</t>
  </si>
  <si>
    <t>07AADCR6485N2ZN</t>
  </si>
  <si>
    <t>Ravi Raikwar</t>
  </si>
  <si>
    <t>Ravindra kumar goyal</t>
  </si>
  <si>
    <t>Rd Foods</t>
  </si>
  <si>
    <t>07AVWPM8457E1ZV</t>
  </si>
  <si>
    <t>REAL BIZ SOLUTIONS</t>
  </si>
  <si>
    <t>09AIPPK7182E2ZT</t>
  </si>
  <si>
    <t>Rekha Mendes/ R D Enterprises</t>
  </si>
  <si>
    <t>30BCUPM8624D1ZJ</t>
  </si>
  <si>
    <t>REUBENS ENTERPRISE</t>
  </si>
  <si>
    <t>15ADSPH9493B1Z8</t>
  </si>
  <si>
    <t>Mizoram</t>
  </si>
  <si>
    <t>Ride Inn</t>
  </si>
  <si>
    <t>02ADQFS7235L1ZM</t>
  </si>
  <si>
    <t>Himachal Pradesh</t>
  </si>
  <si>
    <t>RIGA FOODS LLP</t>
  </si>
  <si>
    <t>07AAWFR1149R1Z8</t>
  </si>
  <si>
    <t>RISHAB HOTEL &amp; RESTAURANT SERVICE PVT LTD</t>
  </si>
  <si>
    <t>07AABCR7404F1ZM</t>
  </si>
  <si>
    <t>RITESH</t>
  </si>
  <si>
    <t>ROOTS  CORPORATION LTD-INDORE</t>
  </si>
  <si>
    <t>23AACCR6389J1Z0</t>
  </si>
  <si>
    <t>Roots Corpoartion Ltd-Lucknow</t>
  </si>
  <si>
    <t>09AACCR6389J1ZQ</t>
  </si>
  <si>
    <t>ROOTS CORPORATION LIMITED- PUNE</t>
  </si>
  <si>
    <t>27AACCR6389J1ZS</t>
  </si>
  <si>
    <t>Roots Corporation Limited-DELHI</t>
  </si>
  <si>
    <t>07AACCR6389J1ZU</t>
  </si>
  <si>
    <t>Roots Corporation Limited-Goa</t>
  </si>
  <si>
    <t>30AACCR6389J1Z5</t>
  </si>
  <si>
    <t>ROOTS CORPORATION LIMITED-HARYANA</t>
  </si>
  <si>
    <t>06AACCR6389J1ZW</t>
  </si>
  <si>
    <t>Roots Corporation Ltd - Hyderabad</t>
  </si>
  <si>
    <t>36AACCR6389J2ZS</t>
  </si>
  <si>
    <t>ROOTS CORPORATION LTD -NOIDA</t>
  </si>
  <si>
    <t>ROOTS CORPORATION LTD- RJ</t>
  </si>
  <si>
    <t>08AACCR6389J1ZS</t>
  </si>
  <si>
    <t>Roots Corporation Ltd-Agartala</t>
  </si>
  <si>
    <t>16AACCR6389J1ZV</t>
  </si>
  <si>
    <t>Tripura</t>
  </si>
  <si>
    <t>ROOTS CORPORATION LTD-AURANGABAD</t>
  </si>
  <si>
    <t>Roots Corporation Nasik</t>
  </si>
  <si>
    <t>ROYAL TRADING COMPANY</t>
  </si>
  <si>
    <t>07AFGPT1807H1ZF</t>
  </si>
  <si>
    <t>RPG ENTERPRISES</t>
  </si>
  <si>
    <t>07CYVPP7187E1ZK</t>
  </si>
  <si>
    <t>RUNWAY LIFESTYLE</t>
  </si>
  <si>
    <t>RYM FOOD AND HOSPITALITY PRIVATE LIMITED</t>
  </si>
  <si>
    <t>07AANCR3446H1Z4</t>
  </si>
  <si>
    <t>RYM FOOD AND HOSPITALITY PRIVATE LIMITED-UP</t>
  </si>
  <si>
    <t>09AANCR3446H1Z0</t>
  </si>
  <si>
    <t>RYM VENTURES PRIVATE LIMITED</t>
  </si>
  <si>
    <t>09AAKCR7231F1Z8</t>
  </si>
  <si>
    <t>S R FARMS</t>
  </si>
  <si>
    <t>02AFPFS8823K1ZH</t>
  </si>
  <si>
    <t>S.K Enterprises</t>
  </si>
  <si>
    <t>07AWVPK6639A1Z8</t>
  </si>
  <si>
    <t>S.K TRADERS</t>
  </si>
  <si>
    <t>09AHYPA0672R1ZI</t>
  </si>
  <si>
    <t>S.S TISSUES</t>
  </si>
  <si>
    <t>07AJBPM5713E1ZJ</t>
  </si>
  <si>
    <t>S.yoga chaitanya</t>
  </si>
  <si>
    <t>Sachin Singhal</t>
  </si>
  <si>
    <t>Sachine</t>
  </si>
  <si>
    <t>Sahil Grover</t>
  </si>
  <si>
    <t>SAHRISH INNOVATIONS (OPC) PRIVATE LIMITED</t>
  </si>
  <si>
    <t>04ABLCS1570Q1ZT</t>
  </si>
  <si>
    <t>SAINTMAT GLOBAL TECH</t>
  </si>
  <si>
    <t>07NXZPS6426K1Z3</t>
  </si>
  <si>
    <t>SALASAR FOODS</t>
  </si>
  <si>
    <t>06BWXPG3896A1Z6</t>
  </si>
  <si>
    <t>Sangeeta jain</t>
  </si>
  <si>
    <t>Sangita gupta</t>
  </si>
  <si>
    <t>SANJAY PLASTIC</t>
  </si>
  <si>
    <t>23ADVPJ1453G1ZK</t>
  </si>
  <si>
    <t>Sanjeevani Multispeciality Dental Clinic Centre</t>
  </si>
  <si>
    <t>Sanvi Enterprises</t>
  </si>
  <si>
    <t>07CBHPS3429R1ZU</t>
  </si>
  <si>
    <t>SATISH DHAWAN SPACE CENTRE SHAR</t>
  </si>
  <si>
    <t>37AAAGS1366J1Z1</t>
  </si>
  <si>
    <t>SATPAL MISHRA</t>
  </si>
  <si>
    <t>Satvika</t>
  </si>
  <si>
    <t>SAUBHAGYA FOODS SERVICES</t>
  </si>
  <si>
    <t>SAURASHTRA HOTELS PVT</t>
  </si>
  <si>
    <t>24AADCS0850N1ZA</t>
  </si>
  <si>
    <t>Seema Rubbers</t>
  </si>
  <si>
    <t>07AARPK6549F1ZA</t>
  </si>
  <si>
    <t>Sehgal Enterprises</t>
  </si>
  <si>
    <t>03BDAPS7551Q1Z1</t>
  </si>
  <si>
    <t>SEIZA VENTURES PRIVATE LIMITED</t>
  </si>
  <si>
    <t>06ABMCS1559C1ZC</t>
  </si>
  <si>
    <t>SETHI CATERINGS</t>
  </si>
  <si>
    <t>03ATAPS6604B2Z7</t>
  </si>
  <si>
    <t>Shahi Food Services</t>
  </si>
  <si>
    <t>SHANMUKH TRADERS</t>
  </si>
  <si>
    <t>37ESYPR9689N1ZS</t>
  </si>
  <si>
    <t>SHANTI ENTERPRISES</t>
  </si>
  <si>
    <t>08ABDPB7506L1ZP</t>
  </si>
  <si>
    <t>Shetye Marketing</t>
  </si>
  <si>
    <t>30AHEPS4395P1ZR</t>
  </si>
  <si>
    <t>SHIMOW HOSPITALITY PRIVATE LIMITED</t>
  </si>
  <si>
    <t>27ABPCS9406F1ZX</t>
  </si>
  <si>
    <t>Shimow Hospitality Private Limited-DL</t>
  </si>
  <si>
    <t>07ABPCS9406F1ZZ</t>
  </si>
  <si>
    <t>SHIV DIAL SUD AND SONS</t>
  </si>
  <si>
    <t>06AAEFS4236L1Z1</t>
  </si>
  <si>
    <t>SHIVAM TRADERS</t>
  </si>
  <si>
    <t>09AJKPB1424E1ZP</t>
  </si>
  <si>
    <t>Shree ram traders</t>
  </si>
  <si>
    <t>Shree Vishwakarma Sales</t>
  </si>
  <si>
    <t>08IFYPS0198A1ZS</t>
  </si>
  <si>
    <t>SHREYA INTERNATIONAL</t>
  </si>
  <si>
    <t>09AKRPK2342Q1ZF</t>
  </si>
  <si>
    <t>Shreyas</t>
  </si>
  <si>
    <t>Shreyash Seller</t>
  </si>
  <si>
    <t>Shri Govindam Foundation</t>
  </si>
  <si>
    <t>SHRI M.M GILL INTERNATIONAL</t>
  </si>
  <si>
    <t>03AWKPS1351A1Z0</t>
  </si>
  <si>
    <t>SHRI PARSH TRADERS</t>
  </si>
  <si>
    <t>07ACKPJ6182G1ZF</t>
  </si>
  <si>
    <t>SHRI SAMRIDDHI ENTERPRISES</t>
  </si>
  <si>
    <t>07BISPV3683B1ZR</t>
  </si>
  <si>
    <t>SHRI VATTSAL ENTERPRISES</t>
  </si>
  <si>
    <t>09AACPO1482G2ZO</t>
  </si>
  <si>
    <t>SHRINATHJI COMPOSTABLES</t>
  </si>
  <si>
    <t>09AKZPJ2756K1ZA</t>
  </si>
  <si>
    <t>SHUBHA LAKSHMI ENTERPRISES</t>
  </si>
  <si>
    <t>08AJXPM7897F1Z4</t>
  </si>
  <si>
    <t>SI BANG HOSPITALITY &amp; TRADING PVT LTD</t>
  </si>
  <si>
    <t>06AAOCS5536N1ZO</t>
  </si>
  <si>
    <t>Siddharth garg</t>
  </si>
  <si>
    <t>SIDDHI VINAYAK TRADERS</t>
  </si>
  <si>
    <t>09BVZPN3481M1ZF</t>
  </si>
  <si>
    <t>Simardeep singh handa</t>
  </si>
  <si>
    <t>SIMPLI ASSIST</t>
  </si>
  <si>
    <t>07AARPW2928E1Z9</t>
  </si>
  <si>
    <t>SINDHI PROVISION STORE</t>
  </si>
  <si>
    <t>07AGEPR7581F1Z2</t>
  </si>
  <si>
    <t>SM ENTERPRISES-DELHI</t>
  </si>
  <si>
    <t>07AEZPB2665R1ZL</t>
  </si>
  <si>
    <t>SM ENTERPRISE-WEST BENGAL</t>
  </si>
  <si>
    <t>19DKWPS3662F1ZC</t>
  </si>
  <si>
    <t>Sneh Tyagi</t>
  </si>
  <si>
    <t>SNEHVISH CREATION</t>
  </si>
  <si>
    <t>09EIDPG3530E1ZM</t>
  </si>
  <si>
    <t>Social ice</t>
  </si>
  <si>
    <t>Social Indore LLP</t>
  </si>
  <si>
    <t>23AEDFS2632D1ZJ</t>
  </si>
  <si>
    <t>SOLO4 CULINARY ARTS LLP</t>
  </si>
  <si>
    <t>24AFMFS3999B1ZM</t>
  </si>
  <si>
    <t>Somani Packaging</t>
  </si>
  <si>
    <t>36CJZPS1056E1ZQ</t>
  </si>
  <si>
    <t>Sonal Kawatra</t>
  </si>
  <si>
    <t>Sonar Bangla</t>
  </si>
  <si>
    <t>SouthChef</t>
  </si>
  <si>
    <t>03AKRPA1105H1ZT</t>
  </si>
  <si>
    <t>SPHERE DISTRIBUTION - EXPORT</t>
  </si>
  <si>
    <t>Spicy Tadkaa</t>
  </si>
  <si>
    <t>SREE RAMA ENTERPRISES</t>
  </si>
  <si>
    <t>37DLVPS6731P1ZS</t>
  </si>
  <si>
    <t>Sri Niwas Paper Merchant</t>
  </si>
  <si>
    <t>09AHBPS3466J1ZX</t>
  </si>
  <si>
    <t>SRI RAMDEV MARKETING</t>
  </si>
  <si>
    <t>36AGWPN0460B1ZF</t>
  </si>
  <si>
    <t>Srishti Trading Solutions</t>
  </si>
  <si>
    <t>06BHNPK9785P1Z4</t>
  </si>
  <si>
    <t>SRS ENTERPRISES</t>
  </si>
  <si>
    <t>07AZCPJ8145L1Z2</t>
  </si>
  <si>
    <t>SUCCESS MARKETING</t>
  </si>
  <si>
    <t>08ACAPA1011D1ZS</t>
  </si>
  <si>
    <t>Sukh Jan Disposable LLP</t>
  </si>
  <si>
    <t>09AEYFS6331L1Z3</t>
  </si>
  <si>
    <t>Sumit Bansal  (sonu)</t>
  </si>
  <si>
    <t>SUMOSH</t>
  </si>
  <si>
    <t>06AAHPG2966J3ZI</t>
  </si>
  <si>
    <t>SUNRISE ACRES ORGANICS</t>
  </si>
  <si>
    <t>32AFSFS8652K1Z8</t>
  </si>
  <si>
    <t>SUNVENA ENTERPRISES</t>
  </si>
  <si>
    <t>07AFUFS7660B1ZK</t>
  </si>
  <si>
    <t>SUPRATIM ENTERPRISE</t>
  </si>
  <si>
    <t>19AGRPD6972B1Z5</t>
  </si>
  <si>
    <t>Surya India palace Pvt. Ltd</t>
  </si>
  <si>
    <t>09AAPCS7771L1ZC</t>
  </si>
  <si>
    <t>SURYA TRADERS</t>
  </si>
  <si>
    <t>06AEUPN4893G1ZT</t>
  </si>
  <si>
    <t>SWASTHA HYGIENE</t>
  </si>
  <si>
    <t>07BIHPA2784H1ZB</t>
  </si>
  <si>
    <t>TAJ SURAJKUND RESORT &amp; SPA</t>
  </si>
  <si>
    <t>06AAACG1037G1Z5</t>
  </si>
  <si>
    <t>TAMUL PLATES MARKETING PRIVATE LIMITED-WB</t>
  </si>
  <si>
    <t>19AAACY3303K1ZA</t>
  </si>
  <si>
    <t>Tamul Plates Marketing Pvt Ltd - Assam</t>
  </si>
  <si>
    <t>18AAACY3303K3ZA</t>
  </si>
  <si>
    <t>TANVI ENTERPRISES</t>
  </si>
  <si>
    <t>07AAIPG0685K1ZJ</t>
  </si>
  <si>
    <t>TAO HOSPITALITY PRIVATE LIMITED</t>
  </si>
  <si>
    <t>22AAICT4590P1ZR</t>
  </si>
  <si>
    <t>Chattisgarh</t>
  </si>
  <si>
    <t>Tapt Sudha</t>
  </si>
  <si>
    <t>10AYVPD8734D1ZI</t>
  </si>
  <si>
    <t>TATVAWARE INDIA PVT LTD</t>
  </si>
  <si>
    <t>09AAHCT0515F2ZJ</t>
  </si>
  <si>
    <t>The Dessert Leaf</t>
  </si>
  <si>
    <t>The Haven International Coffee House</t>
  </si>
  <si>
    <t>09AAKFH8900L1ZX</t>
  </si>
  <si>
    <t>THE LOCAL HIMALAYANS</t>
  </si>
  <si>
    <t>05AASFT0976A1Z4</t>
  </si>
  <si>
    <t>THE MIGHTY BADSHAH</t>
  </si>
  <si>
    <t>06AAQFT4393K1ZG</t>
  </si>
  <si>
    <t>THE NARAYANAM</t>
  </si>
  <si>
    <t>07AAYFB6945K1ZM</t>
  </si>
  <si>
    <t>The Paaramparah exports</t>
  </si>
  <si>
    <t>33AAMFT5610M1ZX</t>
  </si>
  <si>
    <t>The Platter Life India</t>
  </si>
  <si>
    <t>The Soul Cafe</t>
  </si>
  <si>
    <t>THE TERRACES</t>
  </si>
  <si>
    <t>05AAGPM0759G2ZS</t>
  </si>
  <si>
    <t>The Terraces At Delhi</t>
  </si>
  <si>
    <t>07AAQFT7397D1ZJ</t>
  </si>
  <si>
    <t>The treat india</t>
  </si>
  <si>
    <t>TOKII HOSPITALITY PRIVATE LIMITED</t>
  </si>
  <si>
    <t>27AALCT8455G1ZT</t>
  </si>
  <si>
    <t>Total Office Solutions</t>
  </si>
  <si>
    <t>33CIFPD9921E1ZJ</t>
  </si>
  <si>
    <t>TRADERTREE PRIVATE LIMITED</t>
  </si>
  <si>
    <t>07AAICT0017D1ZU</t>
  </si>
  <si>
    <t>TRIOS HOSPITALITY LLP</t>
  </si>
  <si>
    <t>19AAMFT2215J1ZY</t>
  </si>
  <si>
    <t>Trishul cafe</t>
  </si>
  <si>
    <t>TWO BROTHERS &amp; CO</t>
  </si>
  <si>
    <t>08AAWFT6046M1Z8</t>
  </si>
  <si>
    <t>UDIT ARORA</t>
  </si>
  <si>
    <t>ULTIMATE IMAGE PROCESS</t>
  </si>
  <si>
    <t>07BGBPS3108M1Z9</t>
  </si>
  <si>
    <t>ULTRA INTERNATIONAL LTD</t>
  </si>
  <si>
    <t>09AAACU1089Q1ZO</t>
  </si>
  <si>
    <t>USH TRADERS</t>
  </si>
  <si>
    <t>07AFKPL6338M1ZW</t>
  </si>
  <si>
    <t>V.S TRADING</t>
  </si>
  <si>
    <t>07CDZPR5210H1Z3</t>
  </si>
  <si>
    <t>V.S. PLASTICS</t>
  </si>
  <si>
    <t>06AIXPG9303R1ZE</t>
  </si>
  <si>
    <t>Vandana Nijhawan</t>
  </si>
  <si>
    <t>Varun Enterprises</t>
  </si>
  <si>
    <t>07ASSPR0884P1ZM</t>
  </si>
  <si>
    <t>Venkata kishore</t>
  </si>
  <si>
    <t>VIKAS TRADERS</t>
  </si>
  <si>
    <t>07AOZPK8596C1Z4</t>
  </si>
  <si>
    <t>VIKASH COMMERCIAL</t>
  </si>
  <si>
    <t>20CSHPK9231L1ZN</t>
  </si>
  <si>
    <t>Vikash Enterprises</t>
  </si>
  <si>
    <t>07AANPS1539F1ZI</t>
  </si>
  <si>
    <t>Vimlesh Kumar</t>
  </si>
  <si>
    <t>Vishal tanwar</t>
  </si>
  <si>
    <t>VNY ENTERPRISES</t>
  </si>
  <si>
    <t>09AHCPT7786P1Z4</t>
  </si>
  <si>
    <t>VW Cuisines and Concepts Pvt.Ltd</t>
  </si>
  <si>
    <t>07AACCV9458N1ZI</t>
  </si>
  <si>
    <t>Waffle'O Clock</t>
  </si>
  <si>
    <t>07BMEPB9412J1Z5</t>
  </si>
  <si>
    <t>WOODLAND (AERO CLUB) PRIVATE LIMITED</t>
  </si>
  <si>
    <t>07AADCW6753E1Z7</t>
  </si>
  <si>
    <t>WoodVista Cottages</t>
  </si>
  <si>
    <t>02BZEPS1076E1ZN</t>
  </si>
  <si>
    <t>WRAP ART &amp; DESIGN PVT LTD</t>
  </si>
  <si>
    <t>07AAACW6820D1ZK</t>
  </si>
  <si>
    <t>YAMAZAKI MODERN ASIAN BISTRO</t>
  </si>
  <si>
    <t>27AADFY0921F1ZD</t>
  </si>
  <si>
    <t>Yash Raj</t>
  </si>
  <si>
    <t>Yathas children club pvt Ltd</t>
  </si>
  <si>
    <t>Yeti The Himalayan Kitchen</t>
  </si>
  <si>
    <t>07AADFY4599F1ZP</t>
  </si>
  <si>
    <t>ZAFRAN TRADERS</t>
  </si>
  <si>
    <t>07AIEPI4678Q1ZJ</t>
  </si>
  <si>
    <t>Sales Register</t>
  </si>
  <si>
    <t>1-May-25 to 31-May-25</t>
  </si>
  <si>
    <t>Date</t>
  </si>
  <si>
    <t>Value</t>
  </si>
  <si>
    <t>AV Prakritii-Delhi</t>
  </si>
  <si>
    <t>B B C TRADERS SURAJ</t>
  </si>
  <si>
    <t>Grand Total</t>
  </si>
  <si>
    <t>ROOTS CORPORATION LIMITED- nagpur</t>
  </si>
  <si>
    <t>1-Jun-25 to 30-Jun-25</t>
  </si>
  <si>
    <t>SIDHI VINAYAK TRADERS</t>
  </si>
  <si>
    <t>08CDCPG3389R1ZU</t>
  </si>
  <si>
    <t>1-Jul-25 to 31-Jul-25</t>
  </si>
  <si>
    <t>CASH</t>
  </si>
  <si>
    <t xml:space="preserve">SPHERE DISTRIBUTION - EXPORT
</t>
  </si>
  <si>
    <t>1-Aug-25 to 31-Aug-25</t>
  </si>
  <si>
    <t>1-Sep-25 to 30-Sep-25</t>
  </si>
  <si>
    <t>IMPRESARIO ENTERTAINMENT &amp; HOSPITALITY PVT LTD 
LUCKNOW UP</t>
  </si>
  <si>
    <t>1-Oct-25 to 31-Oct-25</t>
  </si>
  <si>
    <t>CASH SALE P</t>
  </si>
  <si>
    <t>1-Nov-25 to 30-Nov-25</t>
  </si>
  <si>
    <t xml:space="preserve">05AASFT0976A1Z4
</t>
  </si>
  <si>
    <t>1-Dec-25 to 31-Dec-25</t>
  </si>
  <si>
    <t>1-Jan-26 to 31-Jan-26</t>
  </si>
  <si>
    <t>MERCURYRISE HOSPITALITY PRIVATE LIMITED</t>
  </si>
  <si>
    <t>06AAPCM2905G2ZG</t>
  </si>
  <si>
    <t>1-Feb-26 to 28-Feb-26</t>
  </si>
  <si>
    <t>09AACCI8341K2Z8</t>
  </si>
  <si>
    <t>07CHRPC5587J1ZP</t>
  </si>
  <si>
    <t>1-Mar-26 to 31-Mar-26</t>
  </si>
  <si>
    <t>NEUPACK SERVICES PRIVATE LIMITED</t>
  </si>
  <si>
    <t>07AALCN0603N2ZB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</si>
</sst>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&quot;&quot;0.00"/>
    <numFmt numFmtId="165" formatCode="&quot;&quot;0"/>
  </numFmts>
  <fonts count="19">
    <font>
      <sz val="11"/>
      <name val="Calibri"/>
    </font>
    <font>
      <b/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name val="Arial"/>
      <family val="2"/>
    </font>
    <font>
      <b/>
      <sz val="9"/>
      <name val="Arial"/>
    </font>
    <font>
      <b/>
      <sz val="11"/>
      <name val="Arial"/>
    </font>
    <font>
      <sz val="9"/>
      <name val="Arial"/>
    </font>
    <font>
      <sz val="11"/>
      <color rgb="FFFF0000"/>
      <name val="Calibri"/>
      <scheme val="minor"/>
    </font>
    <font>
      <b/>
      <sz val="11"/>
      <name val="Calibri"/>
      <scheme val="minor"/>
    </font>
    <font>
      <sz val="11"/>
      <name val="Calibri"/>
      <scheme val="minor"/>
    </font>
    <font>
      <sz val="11"/>
      <color rgb="FF000000"/>
      <name val="Calibri"/>
      <scheme val="minor"/>
    </font>
    <font>
      <b/>
      <sz val="11"/>
      <color rgb="FFFF0000"/>
      <name val="Calibri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</borders>
  <cellStyleXfs count="2">
    <xf numFmtId="0" fontId="0" fillId="0" borderId="0"/>
    <xf numFmtId="0" fontId="6" fillId="0" borderId="1"/>
  </cellStyleXfs>
  <cellXfs count="123">
    <xf numFmtId="0" fontId="0" fillId="0" borderId="0" xfId="0"/>
    <xf numFmtId="0" fontId="6" fillId="0" borderId="1" xfId="1"/>
    <xf numFmtId="0" fontId="0" fillId="0" borderId="1" xfId="0" applyBorder="1"/>
    <xf numFmtId="0" fontId="8" fillId="0" borderId="1" xfId="1" applyFont="1"/>
    <xf numFmtId="49" fontId="3" fillId="0" borderId="2" xfId="1" applyNumberFormat="1" applyFont="1" applyBorder="1" applyAlignment="1">
      <alignment horizontal="center" vertical="top" wrapText="1"/>
    </xf>
    <xf numFmtId="49" fontId="4" fillId="0" borderId="2" xfId="1" applyNumberFormat="1" applyFont="1" applyBorder="1" applyAlignment="1">
      <alignment horizontal="center" vertical="top" wrapText="1"/>
    </xf>
    <xf numFmtId="49" fontId="3" fillId="0" borderId="2" xfId="1" applyNumberFormat="1" applyFont="1" applyBorder="1" applyAlignment="1">
      <alignment horizontal="center" vertical="top"/>
    </xf>
    <xf numFmtId="49" fontId="3" fillId="0" borderId="2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top"/>
    </xf>
    <xf numFmtId="15" fontId="3" fillId="0" borderId="2" xfId="1" applyNumberFormat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49" fontId="4" fillId="0" borderId="2" xfId="1" applyNumberFormat="1" applyFont="1" applyBorder="1" applyAlignment="1">
      <alignment horizontal="center" vertical="top"/>
    </xf>
    <xf numFmtId="0" fontId="2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15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49" fontId="10" fillId="0" borderId="2" xfId="1" applyNumberFormat="1" applyFont="1" applyBorder="1" applyAlignment="1">
      <alignment horizontal="center" vertical="center" wrapText="1"/>
    </xf>
    <xf numFmtId="164" fontId="9" fillId="0" borderId="2" xfId="1" applyNumberFormat="1" applyFont="1" applyBorder="1" applyAlignment="1">
      <alignment horizontal="center" vertical="center"/>
    </xf>
    <xf numFmtId="0" fontId="9" fillId="0" borderId="1" xfId="1" applyFont="1"/>
    <xf numFmtId="164" fontId="3" fillId="0" borderId="2" xfId="1" applyNumberFormat="1" applyFont="1" applyBorder="1" applyAlignment="1">
      <alignment horizontal="center" vertical="center"/>
    </xf>
    <xf numFmtId="0" fontId="6" fillId="0" borderId="2" xfId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/>
    </xf>
    <xf numFmtId="0" fontId="8" fillId="0" borderId="2" xfId="1" applyFont="1" applyBorder="1" applyAlignment="1">
      <alignment vertical="center"/>
    </xf>
    <xf numFmtId="0" fontId="6" fillId="0" borderId="1" xfId="1" applyAlignment="1">
      <alignment horizontal="center" vertical="center"/>
    </xf>
    <xf numFmtId="0" fontId="7" fillId="0" borderId="1" xfId="1" applyFont="1"/>
    <xf numFmtId="49" fontId="5" fillId="0" borderId="2" xfId="1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5" fillId="0" borderId="2" xfId="1" applyNumberFormat="1" applyFont="1" applyBorder="1" applyAlignment="1">
      <alignment horizontal="left" vertical="top" wrapText="1"/>
    </xf>
    <xf numFmtId="0" fontId="0" fillId="0" borderId="0" xfId="0" applyAlignment="1">
      <alignment wrapText="1"/>
    </xf>
    <xf numFmtId="49" fontId="3" fillId="0" borderId="2" xfId="1" applyNumberFormat="1" applyFont="1" applyBorder="1" applyAlignment="1">
      <alignment vertical="top"/>
    </xf>
    <xf numFmtId="2" fontId="0" fillId="0" borderId="0" xfId="0" applyNumberFormat="1" applyAlignment="1">
      <alignment horizontal="center" vertical="center"/>
    </xf>
    <xf numFmtId="0" fontId="12" fillId="0" borderId="0" xfId="0" applyFont="1"/>
    <xf numFmtId="15" fontId="11" fillId="0" borderId="2" xfId="0" applyNumberFormat="1" applyFont="1" applyBorder="1" applyAlignment="1">
      <alignment horizontal="left" vertical="center" wrapText="1"/>
    </xf>
    <xf numFmtId="2" fontId="13" fillId="0" borderId="2" xfId="0" applyNumberFormat="1" applyFont="1" applyBorder="1" applyAlignment="1">
      <alignment horizontal="center" vertical="center"/>
    </xf>
    <xf numFmtId="0" fontId="12" fillId="0" borderId="1" xfId="0" applyFont="1" applyBorder="1"/>
    <xf numFmtId="164" fontId="9" fillId="0" borderId="2" xfId="1" applyNumberFormat="1" applyFont="1" applyBorder="1" applyAlignment="1">
      <alignment horizontal="left" vertical="center"/>
    </xf>
    <xf numFmtId="164" fontId="7" fillId="0" borderId="2" xfId="1" applyNumberFormat="1" applyFont="1" applyBorder="1" applyAlignment="1">
      <alignment horizontal="center"/>
    </xf>
    <xf numFmtId="0" fontId="6" fillId="0" borderId="2" xfId="1" applyBorder="1" applyAlignment="1">
      <alignment horizontal="center"/>
    </xf>
    <xf numFmtId="164" fontId="3" fillId="0" borderId="2" xfId="1" applyNumberFormat="1" applyFont="1" applyBorder="1" applyAlignment="1">
      <alignment horizontal="center" vertical="top"/>
    </xf>
    <xf numFmtId="164" fontId="7" fillId="0" borderId="2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vertical="top"/>
    </xf>
    <xf numFmtId="15" fontId="3" fillId="0" borderId="2" xfId="1" applyNumberFormat="1" applyFont="1" applyBorder="1" applyAlignment="1">
      <alignment horizontal="right" vertical="top"/>
    </xf>
    <xf numFmtId="0" fontId="3" fillId="0" borderId="2" xfId="1" applyFont="1" applyBorder="1" applyAlignment="1">
      <alignment horizontal="right" vertical="top"/>
    </xf>
    <xf numFmtId="49" fontId="4" fillId="0" borderId="2" xfId="1" applyNumberFormat="1" applyFont="1" applyBorder="1" applyAlignment="1">
      <alignment horizontal="right" vertical="top"/>
    </xf>
    <xf numFmtId="0" fontId="7" fillId="0" borderId="2" xfId="1" applyFont="1" applyBorder="1"/>
    <xf numFmtId="49" fontId="5" fillId="0" borderId="2" xfId="1" applyNumberFormat="1" applyFont="1" applyBorder="1" applyAlignment="1">
      <alignment horizontal="left" vertical="center"/>
    </xf>
    <xf numFmtId="49" fontId="5" fillId="0" borderId="2" xfId="1" applyNumberFormat="1" applyFont="1" applyBorder="1" applyAlignment="1">
      <alignment horizontal="left" vertical="top"/>
    </xf>
    <xf numFmtId="0" fontId="6" fillId="0" borderId="2" xfId="1" applyBorder="1"/>
    <xf numFmtId="165" fontId="3" fillId="0" borderId="2" xfId="1" applyNumberFormat="1" applyFont="1" applyBorder="1" applyAlignment="1">
      <alignment horizontal="center" vertical="center"/>
    </xf>
    <xf numFmtId="164" fontId="7" fillId="0" borderId="2" xfId="1" applyNumberFormat="1" applyFont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11" fillId="0" borderId="2" xfId="0" applyFont="1" applyBorder="1" applyAlignment="1">
      <alignment vertical="center"/>
    </xf>
    <xf numFmtId="2" fontId="6" fillId="0" borderId="1" xfId="1" applyNumberFormat="1" applyAlignment="1">
      <alignment horizontal="center" vertical="center"/>
    </xf>
    <xf numFmtId="2" fontId="6" fillId="0" borderId="1" xfId="1" applyNumberFormat="1"/>
    <xf numFmtId="41" fontId="6" fillId="0" borderId="1" xfId="1" applyNumberFormat="1"/>
    <xf numFmtId="2" fontId="7" fillId="0" borderId="1" xfId="1" applyNumberFormat="1" applyFont="1"/>
    <xf numFmtId="0" fontId="0" fillId="0" borderId="1" xfId="1" applyFont="1" applyAlignment="1">
      <alignment horizontal="center" vertical="center"/>
    </xf>
    <xf numFmtId="0" fontId="15" fillId="0" borderId="2" xfId="0" applyFont="1" applyBorder="1" applyAlignment="1">
      <alignment horizontal="center" vertical="top"/>
    </xf>
    <xf numFmtId="0" fontId="15" fillId="0" borderId="2" xfId="0" applyFont="1" applyBorder="1" applyAlignment="1">
      <alignment horizontal="center" vertical="top" wrapText="1"/>
    </xf>
    <xf numFmtId="0" fontId="16" fillId="0" borderId="1" xfId="0" applyFont="1" applyBorder="1" applyAlignment="1">
      <alignment vertical="top"/>
    </xf>
    <xf numFmtId="0" fontId="16" fillId="0" borderId="0" xfId="0" applyFont="1" applyAlignment="1">
      <alignment vertical="top"/>
    </xf>
    <xf numFmtId="0" fontId="17" fillId="0" borderId="2" xfId="0" applyFont="1" applyBorder="1" applyAlignment="1">
      <alignment horizontal="center" vertical="top"/>
    </xf>
    <xf numFmtId="41" fontId="16" fillId="0" borderId="2" xfId="0" applyNumberFormat="1" applyFont="1" applyBorder="1" applyAlignment="1">
      <alignment horizontal="center" vertical="top"/>
    </xf>
    <xf numFmtId="41" fontId="16" fillId="0" borderId="2" xfId="0" applyNumberFormat="1" applyFont="1" applyBorder="1" applyAlignment="1">
      <alignment horizontal="center" vertical="top" wrapText="1"/>
    </xf>
    <xf numFmtId="41" fontId="16" fillId="0" borderId="2" xfId="0" applyNumberFormat="1" applyFont="1" applyBorder="1" applyAlignment="1">
      <alignment vertical="top"/>
    </xf>
    <xf numFmtId="0" fontId="17" fillId="0" borderId="6" xfId="0" applyFont="1" applyBorder="1" applyAlignment="1">
      <alignment horizontal="center" vertical="top"/>
    </xf>
    <xf numFmtId="41" fontId="16" fillId="0" borderId="6" xfId="0" applyNumberFormat="1" applyFont="1" applyBorder="1" applyAlignment="1">
      <alignment horizontal="center" vertical="top"/>
    </xf>
    <xf numFmtId="0" fontId="14" fillId="0" borderId="7" xfId="0" applyFont="1" applyBorder="1" applyAlignment="1">
      <alignment horizontal="center" vertical="top"/>
    </xf>
    <xf numFmtId="0" fontId="14" fillId="0" borderId="7" xfId="0" applyFont="1" applyBorder="1" applyAlignment="1">
      <alignment horizontal="left" vertical="top"/>
    </xf>
    <xf numFmtId="41" fontId="18" fillId="0" borderId="7" xfId="0" applyNumberFormat="1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16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/>
    </xf>
    <xf numFmtId="0" fontId="16" fillId="0" borderId="2" xfId="0" applyFont="1" applyBorder="1" applyAlignment="1">
      <alignment vertical="top"/>
    </xf>
    <xf numFmtId="0" fontId="16" fillId="0" borderId="3" xfId="0" applyFont="1" applyBorder="1" applyAlignment="1">
      <alignment vertical="top"/>
    </xf>
    <xf numFmtId="0" fontId="15" fillId="0" borderId="6" xfId="0" applyFont="1" applyBorder="1" applyAlignment="1">
      <alignment horizontal="left" vertical="top" wrapText="1"/>
    </xf>
    <xf numFmtId="0" fontId="16" fillId="0" borderId="6" xfId="0" applyFont="1" applyBorder="1" applyAlignment="1">
      <alignment horizontal="left" vertical="top"/>
    </xf>
    <xf numFmtId="49" fontId="1" fillId="0" borderId="2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2" fontId="13" fillId="0" borderId="3" xfId="0" applyNumberFormat="1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2" fontId="13" fillId="0" borderId="5" xfId="0" applyNumberFormat="1" applyFont="1" applyBorder="1" applyAlignment="1">
      <alignment horizontal="center" vertical="center"/>
    </xf>
    <xf numFmtId="2" fontId="13" fillId="0" borderId="3" xfId="0" applyNumberFormat="1" applyFont="1" applyBorder="1" applyAlignment="1">
      <alignment horizontal="center" vertical="center" wrapText="1"/>
    </xf>
    <xf numFmtId="2" fontId="13" fillId="0" borderId="5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164" fontId="8" fillId="0" borderId="3" xfId="1" applyNumberFormat="1" applyFont="1" applyBorder="1" applyAlignment="1">
      <alignment horizontal="center" vertical="center"/>
    </xf>
    <xf numFmtId="164" fontId="8" fillId="0" borderId="5" xfId="1" applyNumberFormat="1" applyFont="1" applyBorder="1" applyAlignment="1">
      <alignment horizontal="center" vertical="center"/>
    </xf>
    <xf numFmtId="164" fontId="8" fillId="0" borderId="4" xfId="1" applyNumberFormat="1" applyFont="1" applyBorder="1" applyAlignment="1">
      <alignment horizontal="center" vertical="center"/>
    </xf>
    <xf numFmtId="49" fontId="5" fillId="0" borderId="3" xfId="1" applyNumberFormat="1" applyFont="1" applyBorder="1" applyAlignment="1">
      <alignment horizontal="left" vertical="center"/>
    </xf>
    <xf numFmtId="49" fontId="5" fillId="0" borderId="5" xfId="1" applyNumberFormat="1" applyFont="1" applyBorder="1" applyAlignment="1">
      <alignment horizontal="left" vertical="center"/>
    </xf>
    <xf numFmtId="49" fontId="3" fillId="0" borderId="3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left" vertical="center"/>
    </xf>
    <xf numFmtId="49" fontId="3" fillId="0" borderId="4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left" vertical="center"/>
    </xf>
    <xf numFmtId="49" fontId="5" fillId="0" borderId="3" xfId="1" applyNumberFormat="1" applyFont="1" applyBorder="1" applyAlignment="1">
      <alignment horizontal="left" vertical="top"/>
    </xf>
    <xf numFmtId="49" fontId="5" fillId="0" borderId="5" xfId="1" applyNumberFormat="1" applyFont="1" applyBorder="1" applyAlignment="1">
      <alignment horizontal="left" vertical="top"/>
    </xf>
    <xf numFmtId="49" fontId="3" fillId="0" borderId="3" xfId="1" applyNumberFormat="1" applyFont="1" applyBorder="1" applyAlignment="1">
      <alignment horizontal="center" vertical="top"/>
    </xf>
    <xf numFmtId="49" fontId="3" fillId="0" borderId="5" xfId="1" applyNumberFormat="1" applyFont="1" applyBorder="1" applyAlignment="1">
      <alignment horizontal="center" vertical="top"/>
    </xf>
    <xf numFmtId="164" fontId="6" fillId="0" borderId="3" xfId="1" applyNumberFormat="1" applyBorder="1" applyAlignment="1">
      <alignment horizontal="center"/>
    </xf>
    <xf numFmtId="164" fontId="6" fillId="0" borderId="5" xfId="1" applyNumberFormat="1" applyBorder="1" applyAlignment="1">
      <alignment horizontal="center"/>
    </xf>
    <xf numFmtId="49" fontId="5" fillId="0" borderId="4" xfId="1" applyNumberFormat="1" applyFont="1" applyBorder="1" applyAlignment="1">
      <alignment horizontal="left" vertical="top"/>
    </xf>
    <xf numFmtId="49" fontId="3" fillId="0" borderId="4" xfId="1" applyNumberFormat="1" applyFont="1" applyBorder="1" applyAlignment="1">
      <alignment horizontal="center" vertical="top"/>
    </xf>
    <xf numFmtId="164" fontId="6" fillId="0" borderId="4" xfId="1" applyNumberFormat="1" applyBorder="1" applyAlignment="1">
      <alignment horizontal="center"/>
    </xf>
    <xf numFmtId="49" fontId="1" fillId="0" borderId="2" xfId="1" applyNumberFormat="1" applyFont="1" applyBorder="1" applyAlignment="1">
      <alignment horizontal="center" vertical="top"/>
    </xf>
    <xf numFmtId="49" fontId="3" fillId="0" borderId="2" xfId="1" applyNumberFormat="1" applyFont="1" applyBorder="1" applyAlignment="1">
      <alignment horizontal="center" vertical="top"/>
    </xf>
    <xf numFmtId="49" fontId="5" fillId="0" borderId="2" xfId="1" applyNumberFormat="1" applyFont="1" applyBorder="1" applyAlignment="1">
      <alignment horizontal="left" vertical="top"/>
    </xf>
    <xf numFmtId="164" fontId="6" fillId="0" borderId="3" xfId="1" applyNumberFormat="1" applyBorder="1" applyAlignment="1">
      <alignment horizontal="center" vertical="center"/>
    </xf>
    <xf numFmtId="164" fontId="6" fillId="0" borderId="5" xfId="1" applyNumberFormat="1" applyBorder="1" applyAlignment="1">
      <alignment horizontal="center" vertical="center"/>
    </xf>
    <xf numFmtId="164" fontId="6" fillId="0" borderId="4" xfId="1" applyNumberFormat="1" applyBorder="1" applyAlignment="1">
      <alignment horizontal="center" vertical="center"/>
    </xf>
    <xf numFmtId="164" fontId="6" fillId="0" borderId="2" xfId="1" applyNumberFormat="1" applyBorder="1" applyAlignment="1">
      <alignment horizontal="center" vertical="center"/>
    </xf>
    <xf numFmtId="49" fontId="1" fillId="0" borderId="2" xfId="1" applyNumberFormat="1" applyFont="1" applyBorder="1" applyAlignment="1">
      <alignment vertical="top"/>
    </xf>
    <xf numFmtId="49" fontId="3" fillId="0" borderId="2" xfId="1" applyNumberFormat="1" applyFont="1" applyBorder="1" applyAlignment="1">
      <alignment vertical="top"/>
    </xf>
    <xf numFmtId="49" fontId="5" fillId="0" borderId="2" xfId="1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 xr:uid="{ECBBF1B6-94FF-2B42-A1BC-889C6B1F7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E73B7-71AE-BE4D-9869-633456773C3B}">
  <dimension ref="A1:R503"/>
  <sheetViews>
    <sheetView tabSelected="1" workbookViewId="0">
      <pane xSplit="2" ySplit="1" topLeftCell="C2" activePane="bottomRight" state="frozen"/>
      <selection pane="bottomRight" activeCell="F8" sqref="F8"/>
      <selection pane="bottomLeft"/>
      <selection pane="topRight"/>
    </sheetView>
  </sheetViews>
  <sheetFormatPr defaultColWidth="11.42578125" defaultRowHeight="15"/>
  <cols>
    <col min="1" max="1" width="5.5703125" style="76" customWidth="1"/>
    <col min="2" max="2" width="35.7109375" style="76" customWidth="1"/>
    <col min="3" max="4" width="19.85546875" style="77" customWidth="1"/>
    <col min="5" max="5" width="9.5703125" style="76" customWidth="1"/>
    <col min="6" max="6" width="9.7109375" style="76" customWidth="1"/>
    <col min="7" max="7" width="10.42578125" style="76" customWidth="1"/>
    <col min="8" max="9" width="9.85546875" style="76" customWidth="1"/>
    <col min="10" max="10" width="11.28515625" style="76" customWidth="1"/>
    <col min="11" max="11" width="9.7109375" style="76" customWidth="1"/>
    <col min="12" max="12" width="10.7109375" style="76" customWidth="1"/>
    <col min="13" max="13" width="11" style="76" customWidth="1"/>
    <col min="14" max="14" width="11.7109375" style="76" customWidth="1"/>
    <col min="15" max="15" width="9.85546875" style="76" customWidth="1"/>
    <col min="16" max="16" width="10.28515625" style="76" customWidth="1"/>
    <col min="17" max="17" width="15.85546875" style="76" bestFit="1" customWidth="1"/>
    <col min="18" max="16384" width="11.42578125" style="65"/>
  </cols>
  <sheetData>
    <row r="1" spans="1:18" s="66" customFormat="1">
      <c r="A1" s="64" t="s">
        <v>0</v>
      </c>
      <c r="B1" s="64" t="s">
        <v>1</v>
      </c>
      <c r="C1" s="78" t="s">
        <v>2</v>
      </c>
      <c r="D1" s="78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4" t="s">
        <v>9</v>
      </c>
      <c r="K1" s="63" t="s">
        <v>10</v>
      </c>
      <c r="L1" s="63" t="s">
        <v>11</v>
      </c>
      <c r="M1" s="63" t="s">
        <v>12</v>
      </c>
      <c r="N1" s="63" t="s">
        <v>13</v>
      </c>
      <c r="O1" s="63" t="s">
        <v>14</v>
      </c>
      <c r="P1" s="63" t="s">
        <v>15</v>
      </c>
      <c r="Q1" s="63" t="s">
        <v>16</v>
      </c>
      <c r="R1" s="65"/>
    </row>
    <row r="2" spans="1:18" s="66" customFormat="1" ht="30.75">
      <c r="A2" s="67">
        <v>1</v>
      </c>
      <c r="B2" s="78" t="s">
        <v>17</v>
      </c>
      <c r="C2" s="79" t="s">
        <v>18</v>
      </c>
      <c r="D2" s="79" t="s">
        <v>19</v>
      </c>
      <c r="E2" s="68">
        <v>0</v>
      </c>
      <c r="F2" s="68">
        <v>0</v>
      </c>
      <c r="G2" s="68">
        <v>0</v>
      </c>
      <c r="H2" s="68">
        <v>0</v>
      </c>
      <c r="I2" s="68">
        <v>0</v>
      </c>
      <c r="J2" s="68">
        <v>0</v>
      </c>
      <c r="K2" s="68">
        <v>0</v>
      </c>
      <c r="L2" s="68">
        <v>0</v>
      </c>
      <c r="M2" s="68">
        <v>0</v>
      </c>
      <c r="N2" s="68">
        <v>0</v>
      </c>
      <c r="O2" s="68">
        <v>9640</v>
      </c>
      <c r="P2" s="68">
        <v>0</v>
      </c>
      <c r="Q2" s="68">
        <f>SUM(E2:P2)</f>
        <v>9640</v>
      </c>
      <c r="R2" s="65"/>
    </row>
    <row r="3" spans="1:18" s="66" customFormat="1">
      <c r="A3" s="67">
        <v>2</v>
      </c>
      <c r="B3" s="78" t="s">
        <v>20</v>
      </c>
      <c r="C3" s="79" t="s">
        <v>21</v>
      </c>
      <c r="D3" s="79" t="s">
        <v>22</v>
      </c>
      <c r="E3" s="68" t="s">
        <v>23</v>
      </c>
      <c r="F3" s="68">
        <v>0</v>
      </c>
      <c r="G3" s="68">
        <v>0</v>
      </c>
      <c r="H3" s="68">
        <v>0</v>
      </c>
      <c r="I3" s="68">
        <v>0</v>
      </c>
      <c r="J3" s="68">
        <v>0</v>
      </c>
      <c r="K3" s="68">
        <v>10600</v>
      </c>
      <c r="L3" s="68">
        <v>0</v>
      </c>
      <c r="M3" s="68">
        <v>0</v>
      </c>
      <c r="N3" s="68">
        <v>0</v>
      </c>
      <c r="O3" s="68">
        <v>0</v>
      </c>
      <c r="P3" s="68">
        <v>0</v>
      </c>
      <c r="Q3" s="68">
        <f>SUM(E3:P3)</f>
        <v>10600</v>
      </c>
      <c r="R3" s="65"/>
    </row>
    <row r="4" spans="1:18" s="66" customFormat="1">
      <c r="A4" s="67">
        <v>3</v>
      </c>
      <c r="B4" s="78" t="s">
        <v>24</v>
      </c>
      <c r="C4" s="79" t="s">
        <v>25</v>
      </c>
      <c r="D4" s="79" t="s">
        <v>19</v>
      </c>
      <c r="E4" s="68">
        <v>97090</v>
      </c>
      <c r="F4" s="68">
        <v>0</v>
      </c>
      <c r="G4" s="68">
        <v>0</v>
      </c>
      <c r="H4" s="68">
        <v>0</v>
      </c>
      <c r="I4" s="68">
        <v>0</v>
      </c>
      <c r="J4" s="68">
        <v>0</v>
      </c>
      <c r="K4" s="68">
        <v>0</v>
      </c>
      <c r="L4" s="68">
        <v>0</v>
      </c>
      <c r="M4" s="68">
        <v>0</v>
      </c>
      <c r="N4" s="68">
        <v>0</v>
      </c>
      <c r="O4" s="68">
        <v>0</v>
      </c>
      <c r="P4" s="68">
        <v>0</v>
      </c>
      <c r="Q4" s="68">
        <f>SUM(E4:P4)</f>
        <v>97090</v>
      </c>
      <c r="R4" s="65"/>
    </row>
    <row r="5" spans="1:18" s="66" customFormat="1">
      <c r="A5" s="67">
        <v>4</v>
      </c>
      <c r="B5" s="78" t="s">
        <v>26</v>
      </c>
      <c r="C5" s="79" t="s">
        <v>27</v>
      </c>
      <c r="D5" s="79" t="s">
        <v>28</v>
      </c>
      <c r="E5" s="68">
        <v>0</v>
      </c>
      <c r="F5" s="68">
        <v>0</v>
      </c>
      <c r="G5" s="68">
        <v>0</v>
      </c>
      <c r="H5" s="68">
        <v>0</v>
      </c>
      <c r="I5" s="68">
        <v>0</v>
      </c>
      <c r="J5" s="68">
        <v>0</v>
      </c>
      <c r="K5" s="68">
        <v>0</v>
      </c>
      <c r="L5" s="68">
        <v>87000</v>
      </c>
      <c r="M5" s="68">
        <v>0</v>
      </c>
      <c r="N5" s="68">
        <v>0</v>
      </c>
      <c r="O5" s="68">
        <v>0</v>
      </c>
      <c r="P5" s="68">
        <v>0</v>
      </c>
      <c r="Q5" s="68">
        <f>SUM(E5:P5)</f>
        <v>87000</v>
      </c>
      <c r="R5" s="65"/>
    </row>
    <row r="6" spans="1:18" s="66" customFormat="1">
      <c r="A6" s="67">
        <v>5</v>
      </c>
      <c r="B6" s="78" t="s">
        <v>29</v>
      </c>
      <c r="C6" s="79" t="s">
        <v>23</v>
      </c>
      <c r="D6" s="79" t="s">
        <v>30</v>
      </c>
      <c r="E6" s="68">
        <v>0</v>
      </c>
      <c r="F6" s="68">
        <v>0</v>
      </c>
      <c r="G6" s="68">
        <v>0</v>
      </c>
      <c r="H6" s="68">
        <v>0</v>
      </c>
      <c r="I6" s="68">
        <v>0</v>
      </c>
      <c r="J6" s="68">
        <v>0</v>
      </c>
      <c r="K6" s="68">
        <v>0</v>
      </c>
      <c r="L6" s="68">
        <v>0</v>
      </c>
      <c r="M6" s="68">
        <v>0</v>
      </c>
      <c r="N6" s="68">
        <v>0</v>
      </c>
      <c r="O6" s="68">
        <v>11625</v>
      </c>
      <c r="P6" s="68">
        <v>3170</v>
      </c>
      <c r="Q6" s="68">
        <f>SUM(E6:P6)</f>
        <v>14795</v>
      </c>
      <c r="R6" s="65"/>
    </row>
    <row r="7" spans="1:18" s="66" customFormat="1">
      <c r="A7" s="67">
        <v>6</v>
      </c>
      <c r="B7" s="78" t="s">
        <v>31</v>
      </c>
      <c r="C7" s="79" t="s">
        <v>32</v>
      </c>
      <c r="D7" s="79" t="s">
        <v>19</v>
      </c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18000</v>
      </c>
      <c r="L7" s="68">
        <v>0</v>
      </c>
      <c r="M7" s="68">
        <v>0</v>
      </c>
      <c r="N7" s="68">
        <v>0</v>
      </c>
      <c r="O7" s="68">
        <v>0</v>
      </c>
      <c r="P7" s="68" t="s">
        <v>23</v>
      </c>
      <c r="Q7" s="68">
        <f>SUM(E7:P7)</f>
        <v>18000</v>
      </c>
      <c r="R7" s="65"/>
    </row>
    <row r="8" spans="1:18" s="66" customFormat="1">
      <c r="A8" s="67">
        <v>7</v>
      </c>
      <c r="B8" s="78" t="s">
        <v>33</v>
      </c>
      <c r="C8" s="79" t="s">
        <v>23</v>
      </c>
      <c r="D8" s="79" t="s">
        <v>30</v>
      </c>
      <c r="E8" s="68">
        <v>0</v>
      </c>
      <c r="F8" s="68">
        <v>13175</v>
      </c>
      <c r="G8" s="68">
        <v>0</v>
      </c>
      <c r="H8" s="68">
        <v>0</v>
      </c>
      <c r="I8" s="68">
        <v>0</v>
      </c>
      <c r="J8" s="68">
        <v>0</v>
      </c>
      <c r="K8" s="68">
        <v>0</v>
      </c>
      <c r="L8" s="68">
        <v>0</v>
      </c>
      <c r="M8" s="68">
        <v>0</v>
      </c>
      <c r="N8" s="68">
        <v>0</v>
      </c>
      <c r="O8" s="68">
        <v>0</v>
      </c>
      <c r="P8" s="68">
        <v>0</v>
      </c>
      <c r="Q8" s="68">
        <f>SUM(E8:P8)</f>
        <v>13175</v>
      </c>
      <c r="R8" s="65"/>
    </row>
    <row r="9" spans="1:18" s="66" customFormat="1" ht="30.75">
      <c r="A9" s="67">
        <v>8</v>
      </c>
      <c r="B9" s="78" t="s">
        <v>34</v>
      </c>
      <c r="C9" s="79" t="s">
        <v>35</v>
      </c>
      <c r="D9" s="79" t="s">
        <v>19</v>
      </c>
      <c r="E9" s="68">
        <v>0</v>
      </c>
      <c r="F9" s="68">
        <v>0</v>
      </c>
      <c r="G9" s="68">
        <v>0</v>
      </c>
      <c r="H9" s="68">
        <v>0</v>
      </c>
      <c r="I9" s="68">
        <v>0</v>
      </c>
      <c r="J9" s="68">
        <v>0</v>
      </c>
      <c r="K9" s="68">
        <v>0</v>
      </c>
      <c r="L9" s="68">
        <v>0</v>
      </c>
      <c r="M9" s="68">
        <v>26245</v>
      </c>
      <c r="N9" s="68">
        <v>0</v>
      </c>
      <c r="O9" s="68">
        <v>0</v>
      </c>
      <c r="P9" s="68">
        <v>0</v>
      </c>
      <c r="Q9" s="68">
        <f>SUM(E9:P9)</f>
        <v>26245</v>
      </c>
      <c r="R9" s="65"/>
    </row>
    <row r="10" spans="1:18" s="66" customFormat="1">
      <c r="A10" s="67">
        <v>9</v>
      </c>
      <c r="B10" s="78" t="s">
        <v>36</v>
      </c>
      <c r="C10" s="79" t="s">
        <v>23</v>
      </c>
      <c r="D10" s="79" t="s">
        <v>30</v>
      </c>
      <c r="E10" s="68">
        <v>0</v>
      </c>
      <c r="F10" s="68">
        <v>0</v>
      </c>
      <c r="G10" s="68">
        <v>0</v>
      </c>
      <c r="H10" s="68">
        <v>0</v>
      </c>
      <c r="I10" s="68">
        <v>0</v>
      </c>
      <c r="J10" s="68">
        <v>0</v>
      </c>
      <c r="K10" s="68">
        <v>0</v>
      </c>
      <c r="L10" s="68">
        <v>7000</v>
      </c>
      <c r="M10" s="68" t="s">
        <v>23</v>
      </c>
      <c r="N10" s="68">
        <v>0</v>
      </c>
      <c r="O10" s="68">
        <v>0</v>
      </c>
      <c r="P10" s="68">
        <v>0</v>
      </c>
      <c r="Q10" s="68">
        <f>SUM(E10:P10)</f>
        <v>7000</v>
      </c>
      <c r="R10" s="65"/>
    </row>
    <row r="11" spans="1:18" s="66" customFormat="1">
      <c r="A11" s="67">
        <v>10</v>
      </c>
      <c r="B11" s="78" t="s">
        <v>37</v>
      </c>
      <c r="C11" s="79" t="s">
        <v>38</v>
      </c>
      <c r="D11" s="79" t="s">
        <v>19</v>
      </c>
      <c r="E11" s="68">
        <v>23313</v>
      </c>
      <c r="F11" s="68">
        <v>6720</v>
      </c>
      <c r="G11" s="68">
        <v>22630</v>
      </c>
      <c r="H11" s="68">
        <v>37890</v>
      </c>
      <c r="I11" s="68">
        <v>16800</v>
      </c>
      <c r="J11" s="68">
        <v>14220</v>
      </c>
      <c r="K11" s="68">
        <v>18660</v>
      </c>
      <c r="L11" s="68">
        <v>69460</v>
      </c>
      <c r="M11" s="68">
        <v>100370</v>
      </c>
      <c r="N11" s="68">
        <v>143160</v>
      </c>
      <c r="O11" s="68">
        <v>30045</v>
      </c>
      <c r="P11" s="68">
        <v>7500</v>
      </c>
      <c r="Q11" s="68">
        <f>SUM(E11:P11)</f>
        <v>490768</v>
      </c>
      <c r="R11" s="65"/>
    </row>
    <row r="12" spans="1:18" s="66" customFormat="1">
      <c r="A12" s="67">
        <v>11</v>
      </c>
      <c r="B12" s="78" t="s">
        <v>39</v>
      </c>
      <c r="C12" s="79" t="s">
        <v>40</v>
      </c>
      <c r="D12" s="79" t="s">
        <v>41</v>
      </c>
      <c r="E12" s="68">
        <v>0</v>
      </c>
      <c r="F12" s="68">
        <v>0</v>
      </c>
      <c r="G12" s="68">
        <v>0</v>
      </c>
      <c r="H12" s="68">
        <v>0</v>
      </c>
      <c r="I12" s="68">
        <v>0</v>
      </c>
      <c r="J12" s="68">
        <v>1810</v>
      </c>
      <c r="K12" s="68">
        <v>0</v>
      </c>
      <c r="L12" s="68">
        <v>0</v>
      </c>
      <c r="M12" s="68">
        <v>8875</v>
      </c>
      <c r="N12" s="68">
        <v>0</v>
      </c>
      <c r="O12" s="68">
        <v>0</v>
      </c>
      <c r="P12" s="68">
        <v>0</v>
      </c>
      <c r="Q12" s="68">
        <f>SUM(E12:P12)</f>
        <v>10685</v>
      </c>
      <c r="R12" s="65"/>
    </row>
    <row r="13" spans="1:18" s="66" customFormat="1">
      <c r="A13" s="67">
        <v>12</v>
      </c>
      <c r="B13" s="78" t="s">
        <v>42</v>
      </c>
      <c r="C13" s="79" t="s">
        <v>43</v>
      </c>
      <c r="D13" s="79" t="s">
        <v>44</v>
      </c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68">
        <v>0</v>
      </c>
      <c r="M13" s="68">
        <v>0</v>
      </c>
      <c r="N13" s="68">
        <v>0</v>
      </c>
      <c r="O13" s="68">
        <v>0</v>
      </c>
      <c r="P13" s="68">
        <v>196610.2</v>
      </c>
      <c r="Q13" s="68">
        <f>SUM(E13:P13)</f>
        <v>196610.2</v>
      </c>
      <c r="R13" s="65"/>
    </row>
    <row r="14" spans="1:18" s="66" customFormat="1">
      <c r="A14" s="67">
        <v>13</v>
      </c>
      <c r="B14" s="78" t="s">
        <v>45</v>
      </c>
      <c r="C14" s="79" t="s">
        <v>23</v>
      </c>
      <c r="D14" s="79" t="s">
        <v>30</v>
      </c>
      <c r="E14" s="68">
        <v>0</v>
      </c>
      <c r="F14" s="68">
        <v>0</v>
      </c>
      <c r="G14" s="68">
        <v>0</v>
      </c>
      <c r="H14" s="68">
        <v>7487.5</v>
      </c>
      <c r="I14" s="68">
        <v>8400</v>
      </c>
      <c r="J14" s="68">
        <v>0</v>
      </c>
      <c r="K14" s="68">
        <v>2050</v>
      </c>
      <c r="L14" s="68">
        <v>0</v>
      </c>
      <c r="M14" s="68">
        <v>0</v>
      </c>
      <c r="N14" s="68">
        <v>8080</v>
      </c>
      <c r="O14" s="68">
        <v>0</v>
      </c>
      <c r="P14" s="68">
        <v>14000</v>
      </c>
      <c r="Q14" s="68">
        <f>SUM(E14:P14)</f>
        <v>40017.5</v>
      </c>
      <c r="R14" s="65"/>
    </row>
    <row r="15" spans="1:18" s="66" customFormat="1">
      <c r="A15" s="67">
        <v>14</v>
      </c>
      <c r="B15" s="78" t="s">
        <v>46</v>
      </c>
      <c r="C15" s="79" t="s">
        <v>23</v>
      </c>
      <c r="D15" s="79" t="s">
        <v>30</v>
      </c>
      <c r="E15" s="68">
        <v>2567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68">
        <f>SUM(E15:P15)</f>
        <v>2567</v>
      </c>
      <c r="R15" s="65"/>
    </row>
    <row r="16" spans="1:18" s="66" customFormat="1">
      <c r="A16" s="67">
        <v>15</v>
      </c>
      <c r="B16" s="78" t="s">
        <v>47</v>
      </c>
      <c r="C16" s="79" t="s">
        <v>23</v>
      </c>
      <c r="D16" s="79" t="s">
        <v>30</v>
      </c>
      <c r="E16" s="68">
        <v>0</v>
      </c>
      <c r="F16" s="68">
        <v>0</v>
      </c>
      <c r="G16" s="68">
        <v>0</v>
      </c>
      <c r="H16" s="68">
        <v>0</v>
      </c>
      <c r="I16" s="68">
        <v>0</v>
      </c>
      <c r="J16" s="68">
        <v>0</v>
      </c>
      <c r="K16" s="68">
        <v>0</v>
      </c>
      <c r="L16" s="68">
        <v>0</v>
      </c>
      <c r="M16" s="68">
        <v>0</v>
      </c>
      <c r="N16" s="68">
        <v>9300</v>
      </c>
      <c r="O16" s="68">
        <v>0</v>
      </c>
      <c r="P16" s="68">
        <v>0</v>
      </c>
      <c r="Q16" s="68">
        <f>SUM(E16:P16)</f>
        <v>9300</v>
      </c>
      <c r="R16" s="65"/>
    </row>
    <row r="17" spans="1:18" s="66" customFormat="1">
      <c r="A17" s="67">
        <v>16</v>
      </c>
      <c r="B17" s="78" t="s">
        <v>48</v>
      </c>
      <c r="C17" s="79" t="s">
        <v>49</v>
      </c>
      <c r="D17" s="79" t="s">
        <v>19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12000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4760</v>
      </c>
      <c r="Q17" s="68">
        <f>SUM(E17:P17)</f>
        <v>16760</v>
      </c>
      <c r="R17" s="65"/>
    </row>
    <row r="18" spans="1:18" s="66" customFormat="1">
      <c r="A18" s="67">
        <v>17</v>
      </c>
      <c r="B18" s="78" t="s">
        <v>50</v>
      </c>
      <c r="C18" s="79" t="s">
        <v>51</v>
      </c>
      <c r="D18" s="79" t="s">
        <v>19</v>
      </c>
      <c r="E18" s="68">
        <v>205979</v>
      </c>
      <c r="F18" s="68">
        <v>68850</v>
      </c>
      <c r="G18" s="68">
        <v>30000</v>
      </c>
      <c r="H18" s="68" t="s">
        <v>23</v>
      </c>
      <c r="I18" s="68">
        <v>78025</v>
      </c>
      <c r="J18" s="68" t="s">
        <v>23</v>
      </c>
      <c r="K18" s="68">
        <v>46800</v>
      </c>
      <c r="L18" s="68">
        <v>54800</v>
      </c>
      <c r="M18" s="68">
        <v>49348</v>
      </c>
      <c r="N18" s="68">
        <v>30000</v>
      </c>
      <c r="O18" s="68" t="s">
        <v>23</v>
      </c>
      <c r="P18" s="68">
        <v>2927850</v>
      </c>
      <c r="Q18" s="68">
        <f>SUM(E18:P18)</f>
        <v>3491652</v>
      </c>
      <c r="R18" s="65"/>
    </row>
    <row r="19" spans="1:18" s="66" customFormat="1">
      <c r="A19" s="67">
        <v>18</v>
      </c>
      <c r="B19" s="78" t="s">
        <v>52</v>
      </c>
      <c r="C19" s="79" t="s">
        <v>23</v>
      </c>
      <c r="D19" s="79" t="s">
        <v>30</v>
      </c>
      <c r="E19" s="68">
        <v>0</v>
      </c>
      <c r="F19" s="68">
        <v>0</v>
      </c>
      <c r="G19" s="68">
        <v>0</v>
      </c>
      <c r="H19" s="68">
        <v>0</v>
      </c>
      <c r="I19" s="68">
        <v>2314</v>
      </c>
      <c r="J19" s="68">
        <v>32149</v>
      </c>
      <c r="K19" s="68">
        <v>46310.15</v>
      </c>
      <c r="L19" s="68">
        <v>27080</v>
      </c>
      <c r="M19" s="68">
        <v>60260</v>
      </c>
      <c r="N19" s="68">
        <v>34510</v>
      </c>
      <c r="O19" s="68">
        <v>75700</v>
      </c>
      <c r="P19" s="68">
        <v>8375</v>
      </c>
      <c r="Q19" s="68">
        <f>SUM(E19:P19)</f>
        <v>286698.15000000002</v>
      </c>
      <c r="R19" s="65"/>
    </row>
    <row r="20" spans="1:18" s="66" customFormat="1">
      <c r="A20" s="67">
        <v>19</v>
      </c>
      <c r="B20" s="78" t="s">
        <v>53</v>
      </c>
      <c r="C20" s="79" t="s">
        <v>54</v>
      </c>
      <c r="D20" s="79" t="s">
        <v>55</v>
      </c>
      <c r="E20" s="68">
        <v>0</v>
      </c>
      <c r="F20" s="68">
        <v>0</v>
      </c>
      <c r="G20" s="68">
        <v>0</v>
      </c>
      <c r="H20" s="68">
        <v>0</v>
      </c>
      <c r="I20" s="68">
        <v>0</v>
      </c>
      <c r="J20" s="68">
        <v>64185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f>SUM(E20:P20)</f>
        <v>64185</v>
      </c>
      <c r="R20" s="65"/>
    </row>
    <row r="21" spans="1:18" s="66" customFormat="1">
      <c r="A21" s="67">
        <v>20</v>
      </c>
      <c r="B21" s="78" t="s">
        <v>56</v>
      </c>
      <c r="C21" s="79" t="s">
        <v>57</v>
      </c>
      <c r="D21" s="79" t="s">
        <v>19</v>
      </c>
      <c r="E21" s="68">
        <v>0</v>
      </c>
      <c r="F21" s="68">
        <v>0</v>
      </c>
      <c r="G21" s="68">
        <v>0</v>
      </c>
      <c r="H21" s="68">
        <v>0</v>
      </c>
      <c r="I21" s="68">
        <v>0</v>
      </c>
      <c r="J21" s="68">
        <v>0</v>
      </c>
      <c r="K21" s="68">
        <v>500</v>
      </c>
      <c r="L21" s="68">
        <v>500</v>
      </c>
      <c r="M21" s="68">
        <v>0</v>
      </c>
      <c r="N21" s="68">
        <v>0</v>
      </c>
      <c r="O21" s="68">
        <v>0</v>
      </c>
      <c r="P21" s="68">
        <v>0</v>
      </c>
      <c r="Q21" s="68">
        <f>SUM(E21:P21)</f>
        <v>1000</v>
      </c>
      <c r="R21" s="65"/>
    </row>
    <row r="22" spans="1:18" s="66" customFormat="1">
      <c r="A22" s="67">
        <v>21</v>
      </c>
      <c r="B22" s="78" t="s">
        <v>58</v>
      </c>
      <c r="C22" s="79" t="s">
        <v>23</v>
      </c>
      <c r="D22" s="79" t="s">
        <v>30</v>
      </c>
      <c r="E22" s="68">
        <v>0</v>
      </c>
      <c r="F22" s="68">
        <v>4640</v>
      </c>
      <c r="G22" s="68">
        <v>0</v>
      </c>
      <c r="H22" s="68">
        <v>0</v>
      </c>
      <c r="I22" s="68">
        <v>0</v>
      </c>
      <c r="J22" s="68">
        <v>0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68">
        <f>SUM(E22:P22)</f>
        <v>4640</v>
      </c>
      <c r="R22" s="65"/>
    </row>
    <row r="23" spans="1:18" s="66" customFormat="1">
      <c r="A23" s="67">
        <v>22</v>
      </c>
      <c r="B23" s="78" t="s">
        <v>59</v>
      </c>
      <c r="C23" s="79" t="s">
        <v>60</v>
      </c>
      <c r="D23" s="79" t="s">
        <v>19</v>
      </c>
      <c r="E23" s="68">
        <v>0</v>
      </c>
      <c r="F23" s="68">
        <v>0</v>
      </c>
      <c r="G23" s="68">
        <v>0</v>
      </c>
      <c r="H23" s="68">
        <v>0</v>
      </c>
      <c r="I23" s="68">
        <v>0</v>
      </c>
      <c r="J23" s="68">
        <v>0</v>
      </c>
      <c r="K23" s="68">
        <v>3400</v>
      </c>
      <c r="L23" s="68">
        <v>0</v>
      </c>
      <c r="M23" s="68">
        <v>6800</v>
      </c>
      <c r="N23" s="68">
        <v>0</v>
      </c>
      <c r="O23" s="68">
        <v>0</v>
      </c>
      <c r="P23" s="68">
        <v>6800</v>
      </c>
      <c r="Q23" s="68">
        <f>SUM(E23:P23)</f>
        <v>17000</v>
      </c>
      <c r="R23" s="65"/>
    </row>
    <row r="24" spans="1:18" s="66" customFormat="1">
      <c r="A24" s="67">
        <v>23</v>
      </c>
      <c r="B24" s="78" t="s">
        <v>61</v>
      </c>
      <c r="C24" s="79" t="s">
        <v>23</v>
      </c>
      <c r="D24" s="79" t="s">
        <v>30</v>
      </c>
      <c r="E24" s="68">
        <v>0</v>
      </c>
      <c r="F24" s="68">
        <v>0</v>
      </c>
      <c r="G24" s="68">
        <v>0</v>
      </c>
      <c r="H24" s="68">
        <v>0</v>
      </c>
      <c r="I24" s="68">
        <v>0</v>
      </c>
      <c r="J24" s="68">
        <v>0</v>
      </c>
      <c r="K24" s="68">
        <v>0</v>
      </c>
      <c r="L24" s="68">
        <v>18000</v>
      </c>
      <c r="M24" s="68">
        <v>0</v>
      </c>
      <c r="N24" s="68">
        <v>0</v>
      </c>
      <c r="O24" s="68">
        <v>18000</v>
      </c>
      <c r="P24" s="68">
        <v>21700</v>
      </c>
      <c r="Q24" s="68">
        <f>SUM(E24:P24)</f>
        <v>57700</v>
      </c>
      <c r="R24" s="65"/>
    </row>
    <row r="25" spans="1:18" s="66" customFormat="1">
      <c r="A25" s="67">
        <v>24</v>
      </c>
      <c r="B25" s="78" t="s">
        <v>62</v>
      </c>
      <c r="C25" s="79" t="s">
        <v>23</v>
      </c>
      <c r="D25" s="79" t="s">
        <v>30</v>
      </c>
      <c r="E25" s="68">
        <v>0</v>
      </c>
      <c r="F25" s="68">
        <v>0</v>
      </c>
      <c r="G25" s="68">
        <v>0</v>
      </c>
      <c r="H25" s="68">
        <v>0</v>
      </c>
      <c r="I25" s="68">
        <v>28917.05</v>
      </c>
      <c r="J25" s="68">
        <v>2513.3200000000002</v>
      </c>
      <c r="K25" s="68">
        <v>285</v>
      </c>
      <c r="L25" s="68">
        <v>0</v>
      </c>
      <c r="M25" s="68">
        <v>0</v>
      </c>
      <c r="N25" s="68">
        <v>0</v>
      </c>
      <c r="O25" s="68">
        <v>0</v>
      </c>
      <c r="P25" s="68">
        <v>3317.52</v>
      </c>
      <c r="Q25" s="68">
        <f>SUM(E25:P25)</f>
        <v>35032.89</v>
      </c>
      <c r="R25" s="65"/>
    </row>
    <row r="26" spans="1:18" s="66" customFormat="1">
      <c r="A26" s="67">
        <v>25</v>
      </c>
      <c r="B26" s="78" t="s">
        <v>63</v>
      </c>
      <c r="C26" s="79" t="s">
        <v>23</v>
      </c>
      <c r="D26" s="79" t="s">
        <v>30</v>
      </c>
      <c r="E26" s="68">
        <v>0</v>
      </c>
      <c r="F26" s="68">
        <v>0</v>
      </c>
      <c r="G26" s="68">
        <v>0</v>
      </c>
      <c r="H26" s="68">
        <v>0</v>
      </c>
      <c r="I26" s="68">
        <v>0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7910</v>
      </c>
      <c r="P26" s="68">
        <v>0</v>
      </c>
      <c r="Q26" s="68">
        <f>SUM(E26:P26)</f>
        <v>7910</v>
      </c>
      <c r="R26" s="65"/>
    </row>
    <row r="27" spans="1:18" s="66" customFormat="1">
      <c r="A27" s="67">
        <v>26</v>
      </c>
      <c r="B27" s="78" t="s">
        <v>64</v>
      </c>
      <c r="C27" s="79" t="s">
        <v>65</v>
      </c>
      <c r="D27" s="79" t="s">
        <v>19</v>
      </c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24000</v>
      </c>
      <c r="O27" s="68">
        <v>0</v>
      </c>
      <c r="P27" s="68">
        <v>0</v>
      </c>
      <c r="Q27" s="68">
        <f>SUM(E27:P27)</f>
        <v>24000</v>
      </c>
      <c r="R27" s="65"/>
    </row>
    <row r="28" spans="1:18" s="66" customFormat="1">
      <c r="A28" s="67">
        <v>27</v>
      </c>
      <c r="B28" s="78" t="s">
        <v>66</v>
      </c>
      <c r="C28" s="79" t="s">
        <v>23</v>
      </c>
      <c r="D28" s="79" t="s">
        <v>30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0</v>
      </c>
      <c r="L28" s="68">
        <v>34760</v>
      </c>
      <c r="M28" s="68">
        <v>0</v>
      </c>
      <c r="N28" s="68">
        <v>0</v>
      </c>
      <c r="O28" s="68">
        <v>0</v>
      </c>
      <c r="P28" s="68">
        <v>0</v>
      </c>
      <c r="Q28" s="68">
        <f>SUM(E28:P28)</f>
        <v>34760</v>
      </c>
      <c r="R28" s="65"/>
    </row>
    <row r="29" spans="1:18" s="66" customFormat="1">
      <c r="A29" s="67">
        <v>28</v>
      </c>
      <c r="B29" s="78" t="s">
        <v>67</v>
      </c>
      <c r="C29" s="79" t="s">
        <v>68</v>
      </c>
      <c r="D29" s="79" t="s">
        <v>69</v>
      </c>
      <c r="E29" s="68">
        <v>12475</v>
      </c>
      <c r="F29" s="68">
        <v>0</v>
      </c>
      <c r="G29" s="68">
        <v>0</v>
      </c>
      <c r="H29" s="68">
        <v>0</v>
      </c>
      <c r="I29" s="68">
        <v>0</v>
      </c>
      <c r="J29" s="68">
        <v>20800</v>
      </c>
      <c r="K29" s="68">
        <v>0</v>
      </c>
      <c r="L29" s="68">
        <v>0</v>
      </c>
      <c r="M29" s="68">
        <v>0</v>
      </c>
      <c r="N29" s="68">
        <v>55480</v>
      </c>
      <c r="O29" s="68">
        <v>0</v>
      </c>
      <c r="P29" s="68">
        <v>0</v>
      </c>
      <c r="Q29" s="68">
        <f>SUM(E29:P29)</f>
        <v>88755</v>
      </c>
      <c r="R29" s="65"/>
    </row>
    <row r="30" spans="1:18" s="66" customFormat="1">
      <c r="A30" s="67">
        <v>29</v>
      </c>
      <c r="B30" s="78" t="s">
        <v>70</v>
      </c>
      <c r="C30" s="79" t="s">
        <v>71</v>
      </c>
      <c r="D30" s="79" t="s">
        <v>72</v>
      </c>
      <c r="E30" s="68">
        <v>0</v>
      </c>
      <c r="F30" s="68">
        <v>0</v>
      </c>
      <c r="G30" s="68">
        <v>21801.5</v>
      </c>
      <c r="H30" s="68">
        <v>0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f>SUM(E30:P30)</f>
        <v>21801.5</v>
      </c>
      <c r="R30" s="65"/>
    </row>
    <row r="31" spans="1:18" s="66" customFormat="1">
      <c r="A31" s="67">
        <v>30</v>
      </c>
      <c r="B31" s="78" t="s">
        <v>73</v>
      </c>
      <c r="C31" s="79" t="s">
        <v>74</v>
      </c>
      <c r="D31" s="79" t="s">
        <v>19</v>
      </c>
      <c r="E31" s="68">
        <v>0</v>
      </c>
      <c r="F31" s="68">
        <v>0</v>
      </c>
      <c r="G31" s="68">
        <v>0</v>
      </c>
      <c r="H31" s="68">
        <v>0</v>
      </c>
      <c r="I31" s="68">
        <v>3300</v>
      </c>
      <c r="J31" s="68">
        <v>0</v>
      </c>
      <c r="K31" s="68">
        <v>0</v>
      </c>
      <c r="L31" s="68">
        <v>21500</v>
      </c>
      <c r="M31" s="68">
        <v>0</v>
      </c>
      <c r="N31" s="68">
        <v>0</v>
      </c>
      <c r="O31" s="68">
        <v>0</v>
      </c>
      <c r="P31" s="68">
        <v>0</v>
      </c>
      <c r="Q31" s="68">
        <f>SUM(E31:P31)</f>
        <v>24800</v>
      </c>
      <c r="R31" s="65"/>
    </row>
    <row r="32" spans="1:18" s="66" customFormat="1">
      <c r="A32" s="67">
        <v>31</v>
      </c>
      <c r="B32" s="78" t="s">
        <v>75</v>
      </c>
      <c r="C32" s="79" t="s">
        <v>23</v>
      </c>
      <c r="D32" s="79" t="s">
        <v>30</v>
      </c>
      <c r="E32" s="68">
        <v>0</v>
      </c>
      <c r="F32" s="68">
        <v>0</v>
      </c>
      <c r="G32" s="68">
        <v>0</v>
      </c>
      <c r="H32" s="68">
        <v>0</v>
      </c>
      <c r="I32" s="68">
        <v>0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25970</v>
      </c>
      <c r="P32" s="68">
        <v>0</v>
      </c>
      <c r="Q32" s="68">
        <f>SUM(E32:P32)</f>
        <v>25970</v>
      </c>
      <c r="R32" s="65"/>
    </row>
    <row r="33" spans="1:18" s="66" customFormat="1">
      <c r="A33" s="67">
        <v>32</v>
      </c>
      <c r="B33" s="78" t="s">
        <v>76</v>
      </c>
      <c r="C33" s="79" t="s">
        <v>77</v>
      </c>
      <c r="D33" s="79" t="s">
        <v>19</v>
      </c>
      <c r="E33" s="68">
        <v>0</v>
      </c>
      <c r="F33" s="68">
        <v>0</v>
      </c>
      <c r="G33" s="68">
        <v>5800</v>
      </c>
      <c r="H33" s="68">
        <v>0</v>
      </c>
      <c r="I33" s="68">
        <v>1650</v>
      </c>
      <c r="J33" s="68">
        <v>15780</v>
      </c>
      <c r="K33" s="68">
        <v>16640</v>
      </c>
      <c r="L33" s="68">
        <v>0</v>
      </c>
      <c r="M33" s="68">
        <v>16700</v>
      </c>
      <c r="N33" s="68">
        <v>14260</v>
      </c>
      <c r="O33" s="68">
        <v>0</v>
      </c>
      <c r="P33" s="68">
        <v>0</v>
      </c>
      <c r="Q33" s="68">
        <f>SUM(E33:P33)</f>
        <v>70830</v>
      </c>
      <c r="R33" s="65"/>
    </row>
    <row r="34" spans="1:18" s="66" customFormat="1">
      <c r="A34" s="67">
        <v>33</v>
      </c>
      <c r="B34" s="78" t="s">
        <v>78</v>
      </c>
      <c r="C34" s="79" t="s">
        <v>79</v>
      </c>
      <c r="D34" s="79" t="s">
        <v>19</v>
      </c>
      <c r="E34" s="68">
        <v>0</v>
      </c>
      <c r="F34" s="68">
        <v>0</v>
      </c>
      <c r="G34" s="68">
        <v>0</v>
      </c>
      <c r="H34" s="68">
        <v>0</v>
      </c>
      <c r="I34" s="68">
        <v>0</v>
      </c>
      <c r="J34" s="68">
        <v>0</v>
      </c>
      <c r="K34" s="68">
        <v>0</v>
      </c>
      <c r="L34" s="68">
        <v>0</v>
      </c>
      <c r="M34" s="68">
        <v>23400</v>
      </c>
      <c r="N34" s="68">
        <v>0</v>
      </c>
      <c r="O34" s="68">
        <v>1560</v>
      </c>
      <c r="P34" s="68">
        <v>1560</v>
      </c>
      <c r="Q34" s="68">
        <f>SUM(E34:P34)</f>
        <v>26520</v>
      </c>
      <c r="R34" s="65"/>
    </row>
    <row r="35" spans="1:18" s="66" customFormat="1">
      <c r="A35" s="67">
        <v>34</v>
      </c>
      <c r="B35" s="78" t="s">
        <v>80</v>
      </c>
      <c r="C35" s="79" t="s">
        <v>23</v>
      </c>
      <c r="D35" s="79" t="s">
        <v>30</v>
      </c>
      <c r="E35" s="68">
        <v>0</v>
      </c>
      <c r="F35" s="68">
        <v>4200</v>
      </c>
      <c r="G35" s="68">
        <v>0</v>
      </c>
      <c r="H35" s="68">
        <v>0</v>
      </c>
      <c r="I35" s="68">
        <v>4200</v>
      </c>
      <c r="J35" s="68">
        <v>0</v>
      </c>
      <c r="K35" s="68">
        <v>0</v>
      </c>
      <c r="L35" s="68">
        <v>0</v>
      </c>
      <c r="M35" s="68">
        <v>8400</v>
      </c>
      <c r="N35" s="68">
        <v>0</v>
      </c>
      <c r="O35" s="68">
        <v>0</v>
      </c>
      <c r="P35" s="68">
        <v>0</v>
      </c>
      <c r="Q35" s="68">
        <f>SUM(E35:P35)</f>
        <v>16800</v>
      </c>
      <c r="R35" s="65"/>
    </row>
    <row r="36" spans="1:18" s="66" customFormat="1">
      <c r="A36" s="67">
        <v>35</v>
      </c>
      <c r="B36" s="78" t="s">
        <v>81</v>
      </c>
      <c r="C36" s="79" t="s">
        <v>23</v>
      </c>
      <c r="D36" s="79" t="s">
        <v>30</v>
      </c>
      <c r="E36" s="68">
        <v>0</v>
      </c>
      <c r="F36" s="68">
        <v>0</v>
      </c>
      <c r="G36" s="68">
        <v>2450</v>
      </c>
      <c r="H36" s="68">
        <v>0</v>
      </c>
      <c r="I36" s="68">
        <v>0</v>
      </c>
      <c r="J36" s="68">
        <v>0</v>
      </c>
      <c r="K36" s="68">
        <v>0</v>
      </c>
      <c r="L36" s="68">
        <v>0</v>
      </c>
      <c r="M36" s="68">
        <v>0</v>
      </c>
      <c r="N36" s="68">
        <v>0</v>
      </c>
      <c r="O36" s="68">
        <v>0</v>
      </c>
      <c r="P36" s="68">
        <v>0</v>
      </c>
      <c r="Q36" s="68">
        <f>SUM(E36:P36)</f>
        <v>2450</v>
      </c>
      <c r="R36" s="65"/>
    </row>
    <row r="37" spans="1:18" s="66" customFormat="1">
      <c r="A37" s="67">
        <v>36</v>
      </c>
      <c r="B37" s="78" t="s">
        <v>82</v>
      </c>
      <c r="C37" s="79" t="s">
        <v>83</v>
      </c>
      <c r="D37" s="79" t="s">
        <v>19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29400</v>
      </c>
      <c r="O37" s="68">
        <v>0</v>
      </c>
      <c r="P37" s="68">
        <v>0</v>
      </c>
      <c r="Q37" s="68">
        <f>SUM(E37:P37)</f>
        <v>29400</v>
      </c>
      <c r="R37" s="65"/>
    </row>
    <row r="38" spans="1:18" s="66" customFormat="1" ht="30.75">
      <c r="A38" s="67">
        <v>37</v>
      </c>
      <c r="B38" s="78" t="s">
        <v>84</v>
      </c>
      <c r="C38" s="79" t="s">
        <v>85</v>
      </c>
      <c r="D38" s="79" t="s">
        <v>19</v>
      </c>
      <c r="E38" s="68">
        <v>0</v>
      </c>
      <c r="F38" s="68">
        <v>8460</v>
      </c>
      <c r="G38" s="68">
        <v>7236.1</v>
      </c>
      <c r="H38" s="68">
        <v>1460</v>
      </c>
      <c r="I38" s="68">
        <v>40500</v>
      </c>
      <c r="J38" s="68">
        <v>0</v>
      </c>
      <c r="K38" s="68">
        <v>7135.25</v>
      </c>
      <c r="L38" s="68">
        <v>3500</v>
      </c>
      <c r="M38" s="68">
        <v>7000</v>
      </c>
      <c r="N38" s="68">
        <v>0</v>
      </c>
      <c r="O38" s="68">
        <v>0</v>
      </c>
      <c r="P38" s="68">
        <v>7000</v>
      </c>
      <c r="Q38" s="68">
        <f>SUM(E38:P38)</f>
        <v>82291.350000000006</v>
      </c>
      <c r="R38" s="65"/>
    </row>
    <row r="39" spans="1:18" s="66" customFormat="1">
      <c r="A39" s="67">
        <v>38</v>
      </c>
      <c r="B39" s="78" t="s">
        <v>86</v>
      </c>
      <c r="C39" s="79" t="s">
        <v>87</v>
      </c>
      <c r="D39" s="79" t="s">
        <v>19</v>
      </c>
      <c r="E39" s="68">
        <v>19234</v>
      </c>
      <c r="F39" s="68">
        <v>0</v>
      </c>
      <c r="G39" s="68">
        <v>0</v>
      </c>
      <c r="H39" s="68">
        <v>0</v>
      </c>
      <c r="I39" s="68">
        <v>0</v>
      </c>
      <c r="J39" s="68">
        <v>0</v>
      </c>
      <c r="K39" s="68">
        <v>0</v>
      </c>
      <c r="L39" s="68">
        <v>0</v>
      </c>
      <c r="M39" s="68">
        <v>0</v>
      </c>
      <c r="N39" s="68">
        <v>0</v>
      </c>
      <c r="O39" s="68">
        <v>0</v>
      </c>
      <c r="P39" s="68">
        <v>0</v>
      </c>
      <c r="Q39" s="68">
        <f>SUM(E39:P39)</f>
        <v>19234</v>
      </c>
      <c r="R39" s="65"/>
    </row>
    <row r="40" spans="1:18" s="66" customFormat="1">
      <c r="A40" s="67">
        <v>39</v>
      </c>
      <c r="B40" s="78" t="s">
        <v>88</v>
      </c>
      <c r="C40" s="79" t="s">
        <v>89</v>
      </c>
      <c r="D40" s="79" t="s">
        <v>90</v>
      </c>
      <c r="E40" s="68">
        <v>0</v>
      </c>
      <c r="F40" s="68">
        <v>0</v>
      </c>
      <c r="G40" s="68">
        <v>0</v>
      </c>
      <c r="H40" s="68">
        <v>0</v>
      </c>
      <c r="I40" s="68">
        <v>9160</v>
      </c>
      <c r="J40" s="68">
        <v>9300</v>
      </c>
      <c r="K40" s="68">
        <v>16520</v>
      </c>
      <c r="L40" s="68">
        <v>13200</v>
      </c>
      <c r="M40" s="68">
        <v>3300</v>
      </c>
      <c r="N40" s="68">
        <v>0</v>
      </c>
      <c r="O40" s="68">
        <v>0</v>
      </c>
      <c r="P40" s="68">
        <v>0</v>
      </c>
      <c r="Q40" s="68">
        <f>SUM(E40:P40)</f>
        <v>51480</v>
      </c>
      <c r="R40" s="65"/>
    </row>
    <row r="41" spans="1:18" s="66" customFormat="1">
      <c r="A41" s="67">
        <v>40</v>
      </c>
      <c r="B41" s="78" t="s">
        <v>91</v>
      </c>
      <c r="C41" s="79" t="s">
        <v>92</v>
      </c>
      <c r="D41" s="79" t="s">
        <v>69</v>
      </c>
      <c r="E41" s="68">
        <v>0</v>
      </c>
      <c r="F41" s="68">
        <v>0</v>
      </c>
      <c r="G41" s="68">
        <v>0</v>
      </c>
      <c r="H41" s="68">
        <v>0</v>
      </c>
      <c r="I41" s="68">
        <v>0</v>
      </c>
      <c r="J41" s="68">
        <v>0</v>
      </c>
      <c r="K41" s="68">
        <v>0</v>
      </c>
      <c r="L41" s="68">
        <v>18000</v>
      </c>
      <c r="M41" s="68">
        <v>0</v>
      </c>
      <c r="N41" s="68">
        <v>0</v>
      </c>
      <c r="O41" s="68">
        <v>0</v>
      </c>
      <c r="P41" s="68">
        <v>0</v>
      </c>
      <c r="Q41" s="68">
        <f>SUM(E41:P41)</f>
        <v>18000</v>
      </c>
      <c r="R41" s="65"/>
    </row>
    <row r="42" spans="1:18" s="66" customFormat="1">
      <c r="A42" s="67">
        <v>41</v>
      </c>
      <c r="B42" s="78" t="s">
        <v>93</v>
      </c>
      <c r="C42" s="79" t="s">
        <v>94</v>
      </c>
      <c r="D42" s="79" t="s">
        <v>19</v>
      </c>
      <c r="E42" s="68">
        <v>0</v>
      </c>
      <c r="F42" s="68">
        <v>0</v>
      </c>
      <c r="G42" s="68">
        <v>0</v>
      </c>
      <c r="H42" s="68">
        <v>0</v>
      </c>
      <c r="I42" s="68">
        <v>370</v>
      </c>
      <c r="J42" s="68">
        <v>270470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f>SUM(E42:P42)</f>
        <v>270840</v>
      </c>
      <c r="R42" s="65"/>
    </row>
    <row r="43" spans="1:18" s="66" customFormat="1">
      <c r="A43" s="67">
        <v>42</v>
      </c>
      <c r="B43" s="78" t="s">
        <v>95</v>
      </c>
      <c r="C43" s="79" t="s">
        <v>23</v>
      </c>
      <c r="D43" s="79" t="s">
        <v>30</v>
      </c>
      <c r="E43" s="68">
        <v>0</v>
      </c>
      <c r="F43" s="68">
        <v>0</v>
      </c>
      <c r="G43" s="68">
        <v>0</v>
      </c>
      <c r="H43" s="68">
        <v>0</v>
      </c>
      <c r="I43" s="68">
        <v>0</v>
      </c>
      <c r="J43" s="68">
        <v>0</v>
      </c>
      <c r="K43" s="68">
        <v>0</v>
      </c>
      <c r="L43" s="68">
        <v>0</v>
      </c>
      <c r="M43" s="68">
        <v>0</v>
      </c>
      <c r="N43" s="68">
        <v>275</v>
      </c>
      <c r="O43" s="68">
        <v>0</v>
      </c>
      <c r="P43" s="68">
        <v>0</v>
      </c>
      <c r="Q43" s="68">
        <f>SUM(E43:P43)</f>
        <v>275</v>
      </c>
      <c r="R43" s="65"/>
    </row>
    <row r="44" spans="1:18" s="66" customFormat="1">
      <c r="A44" s="67">
        <v>43</v>
      </c>
      <c r="B44" s="78" t="s">
        <v>96</v>
      </c>
      <c r="C44" s="79" t="s">
        <v>97</v>
      </c>
      <c r="D44" s="79" t="s">
        <v>19</v>
      </c>
      <c r="E44" s="68">
        <v>0</v>
      </c>
      <c r="F44" s="68">
        <v>1420</v>
      </c>
      <c r="G44" s="68">
        <v>0</v>
      </c>
      <c r="H44" s="68">
        <v>0</v>
      </c>
      <c r="I44" s="68">
        <v>0</v>
      </c>
      <c r="J44" s="68">
        <v>0</v>
      </c>
      <c r="K44" s="68">
        <v>0</v>
      </c>
      <c r="L44" s="68">
        <v>0</v>
      </c>
      <c r="M44" s="68">
        <v>0</v>
      </c>
      <c r="N44" s="68">
        <v>0</v>
      </c>
      <c r="O44" s="68">
        <v>0</v>
      </c>
      <c r="P44" s="68">
        <v>0</v>
      </c>
      <c r="Q44" s="68">
        <f>SUM(E44:P44)</f>
        <v>1420</v>
      </c>
      <c r="R44" s="65"/>
    </row>
    <row r="45" spans="1:18" s="66" customFormat="1" ht="30.75">
      <c r="A45" s="67">
        <v>44</v>
      </c>
      <c r="B45" s="78" t="s">
        <v>98</v>
      </c>
      <c r="C45" s="79" t="s">
        <v>99</v>
      </c>
      <c r="D45" s="79" t="s">
        <v>100</v>
      </c>
      <c r="E45" s="68">
        <v>13440</v>
      </c>
      <c r="F45" s="68">
        <v>0</v>
      </c>
      <c r="G45" s="68">
        <v>0</v>
      </c>
      <c r="H45" s="68">
        <v>0</v>
      </c>
      <c r="I45" s="68">
        <v>0</v>
      </c>
      <c r="J45" s="68">
        <v>0</v>
      </c>
      <c r="K45" s="68">
        <v>0</v>
      </c>
      <c r="L45" s="68">
        <v>0</v>
      </c>
      <c r="M45" s="68">
        <v>0</v>
      </c>
      <c r="N45" s="68">
        <v>0</v>
      </c>
      <c r="O45" s="68">
        <v>0</v>
      </c>
      <c r="P45" s="68">
        <v>0</v>
      </c>
      <c r="Q45" s="68">
        <f>SUM(E45:P45)</f>
        <v>13440</v>
      </c>
      <c r="R45" s="65"/>
    </row>
    <row r="46" spans="1:18" s="66" customFormat="1">
      <c r="A46" s="67">
        <v>45</v>
      </c>
      <c r="B46" s="78" t="s">
        <v>101</v>
      </c>
      <c r="C46" s="79" t="s">
        <v>23</v>
      </c>
      <c r="D46" s="79" t="s">
        <v>30</v>
      </c>
      <c r="E46" s="68">
        <v>0</v>
      </c>
      <c r="F46" s="68">
        <v>0</v>
      </c>
      <c r="G46" s="68">
        <v>0</v>
      </c>
      <c r="H46" s="68">
        <v>0</v>
      </c>
      <c r="I46" s="68">
        <v>0</v>
      </c>
      <c r="J46" s="68">
        <v>2925</v>
      </c>
      <c r="K46" s="68">
        <v>0</v>
      </c>
      <c r="L46" s="68">
        <v>0</v>
      </c>
      <c r="M46" s="68">
        <v>0</v>
      </c>
      <c r="N46" s="68">
        <v>0</v>
      </c>
      <c r="O46" s="68">
        <v>0</v>
      </c>
      <c r="P46" s="68">
        <v>0</v>
      </c>
      <c r="Q46" s="68">
        <f>SUM(E46:P46)</f>
        <v>2925</v>
      </c>
      <c r="R46" s="65"/>
    </row>
    <row r="47" spans="1:18" s="66" customFormat="1">
      <c r="A47" s="67">
        <v>46</v>
      </c>
      <c r="B47" s="78" t="s">
        <v>102</v>
      </c>
      <c r="C47" s="79" t="s">
        <v>103</v>
      </c>
      <c r="D47" s="79" t="s">
        <v>104</v>
      </c>
      <c r="E47" s="68">
        <v>0</v>
      </c>
      <c r="F47" s="68">
        <v>0</v>
      </c>
      <c r="G47" s="68">
        <v>0</v>
      </c>
      <c r="H47" s="68">
        <v>0</v>
      </c>
      <c r="I47" s="68">
        <v>2415</v>
      </c>
      <c r="J47" s="68">
        <v>0</v>
      </c>
      <c r="K47" s="68">
        <v>0</v>
      </c>
      <c r="L47" s="68">
        <v>0</v>
      </c>
      <c r="M47" s="68">
        <v>0</v>
      </c>
      <c r="N47" s="68">
        <v>0</v>
      </c>
      <c r="O47" s="68">
        <v>0</v>
      </c>
      <c r="P47" s="68">
        <v>0</v>
      </c>
      <c r="Q47" s="68">
        <f>SUM(E47:P47)</f>
        <v>2415</v>
      </c>
      <c r="R47" s="65"/>
    </row>
    <row r="48" spans="1:18" s="66" customFormat="1" ht="30.75">
      <c r="A48" s="67">
        <v>47</v>
      </c>
      <c r="B48" s="78" t="s">
        <v>105</v>
      </c>
      <c r="C48" s="79" t="s">
        <v>106</v>
      </c>
      <c r="D48" s="79" t="s">
        <v>107</v>
      </c>
      <c r="E48" s="68">
        <v>0</v>
      </c>
      <c r="F48" s="68">
        <v>0</v>
      </c>
      <c r="G48" s="68">
        <v>0</v>
      </c>
      <c r="H48" s="68">
        <v>526068</v>
      </c>
      <c r="I48" s="68">
        <v>0</v>
      </c>
      <c r="J48" s="68">
        <v>0</v>
      </c>
      <c r="K48" s="68">
        <v>0</v>
      </c>
      <c r="L48" s="68">
        <v>818780</v>
      </c>
      <c r="M48" s="68">
        <v>0</v>
      </c>
      <c r="N48" s="68">
        <v>0</v>
      </c>
      <c r="O48" s="68">
        <v>0</v>
      </c>
      <c r="P48" s="68">
        <v>884851.19999999995</v>
      </c>
      <c r="Q48" s="68">
        <f>SUM(E48:P48)</f>
        <v>2229699.2000000002</v>
      </c>
      <c r="R48" s="65"/>
    </row>
    <row r="49" spans="1:18" s="66" customFormat="1">
      <c r="A49" s="67">
        <v>48</v>
      </c>
      <c r="B49" s="78" t="s">
        <v>108</v>
      </c>
      <c r="C49" s="79" t="s">
        <v>109</v>
      </c>
      <c r="D49" s="79" t="s">
        <v>19</v>
      </c>
      <c r="E49" s="68">
        <v>56812.5</v>
      </c>
      <c r="F49" s="68">
        <v>39585</v>
      </c>
      <c r="G49" s="68">
        <v>0</v>
      </c>
      <c r="H49" s="68">
        <v>0</v>
      </c>
      <c r="I49" s="68">
        <v>189275</v>
      </c>
      <c r="J49" s="68">
        <v>416070</v>
      </c>
      <c r="K49" s="68">
        <v>186420</v>
      </c>
      <c r="L49" s="68">
        <v>370625</v>
      </c>
      <c r="M49" s="68">
        <v>186811.3</v>
      </c>
      <c r="N49" s="68">
        <v>377265</v>
      </c>
      <c r="O49" s="68">
        <v>363554</v>
      </c>
      <c r="P49" s="68">
        <v>326190</v>
      </c>
      <c r="Q49" s="68">
        <f>SUM(E49:P49)</f>
        <v>2512607.7999999998</v>
      </c>
      <c r="R49" s="65"/>
    </row>
    <row r="50" spans="1:18" s="66" customFormat="1" ht="30.75">
      <c r="A50" s="67">
        <v>49</v>
      </c>
      <c r="B50" s="78" t="s">
        <v>110</v>
      </c>
      <c r="C50" s="79" t="s">
        <v>111</v>
      </c>
      <c r="D50" s="79" t="s">
        <v>90</v>
      </c>
      <c r="E50" s="68">
        <v>0</v>
      </c>
      <c r="F50" s="68">
        <v>0</v>
      </c>
      <c r="G50" s="68">
        <v>0</v>
      </c>
      <c r="H50" s="68">
        <v>4077223</v>
      </c>
      <c r="I50" s="68">
        <v>299300</v>
      </c>
      <c r="J50" s="68">
        <v>101830</v>
      </c>
      <c r="K50" s="68">
        <v>110450</v>
      </c>
      <c r="L50" s="68">
        <v>57500</v>
      </c>
      <c r="M50" s="68">
        <v>159670</v>
      </c>
      <c r="N50" s="68">
        <v>431962</v>
      </c>
      <c r="O50" s="68">
        <v>375800</v>
      </c>
      <c r="P50" s="68">
        <v>389230</v>
      </c>
      <c r="Q50" s="68">
        <f>SUM(E50:P50)</f>
        <v>6002965</v>
      </c>
      <c r="R50" s="65"/>
    </row>
    <row r="51" spans="1:18" s="66" customFormat="1" ht="30.75">
      <c r="A51" s="67">
        <v>50</v>
      </c>
      <c r="B51" s="78" t="s">
        <v>112</v>
      </c>
      <c r="C51" s="79" t="s">
        <v>113</v>
      </c>
      <c r="D51" s="79" t="s">
        <v>22</v>
      </c>
      <c r="E51" s="68">
        <v>0</v>
      </c>
      <c r="F51" s="68">
        <v>0</v>
      </c>
      <c r="G51" s="68">
        <v>0</v>
      </c>
      <c r="H51" s="68">
        <v>0</v>
      </c>
      <c r="I51" s="68">
        <v>0</v>
      </c>
      <c r="J51" s="68">
        <v>0</v>
      </c>
      <c r="K51" s="68">
        <v>0</v>
      </c>
      <c r="L51" s="68">
        <v>0</v>
      </c>
      <c r="M51" s="68">
        <v>0</v>
      </c>
      <c r="N51" s="68">
        <v>0</v>
      </c>
      <c r="O51" s="68">
        <v>680825</v>
      </c>
      <c r="P51" s="68">
        <v>0</v>
      </c>
      <c r="Q51" s="68">
        <f>SUM(E51:P51)</f>
        <v>680825</v>
      </c>
      <c r="R51" s="65"/>
    </row>
    <row r="52" spans="1:18" s="66" customFormat="1">
      <c r="A52" s="67">
        <v>51</v>
      </c>
      <c r="B52" s="78" t="s">
        <v>114</v>
      </c>
      <c r="C52" s="79" t="s">
        <v>23</v>
      </c>
      <c r="D52" s="79" t="s">
        <v>30</v>
      </c>
      <c r="E52" s="68">
        <v>0</v>
      </c>
      <c r="F52" s="68">
        <v>327.5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68">
        <v>0</v>
      </c>
      <c r="M52" s="68">
        <v>0</v>
      </c>
      <c r="N52" s="68">
        <v>0</v>
      </c>
      <c r="O52" s="68">
        <v>0</v>
      </c>
      <c r="P52" s="68">
        <v>0</v>
      </c>
      <c r="Q52" s="68">
        <f>SUM(E52:P52)</f>
        <v>327.5</v>
      </c>
      <c r="R52" s="65"/>
    </row>
    <row r="53" spans="1:18" s="66" customFormat="1">
      <c r="A53" s="67">
        <v>52</v>
      </c>
      <c r="B53" s="78" t="s">
        <v>115</v>
      </c>
      <c r="C53" s="79" t="s">
        <v>23</v>
      </c>
      <c r="D53" s="79" t="s">
        <v>30</v>
      </c>
      <c r="E53" s="68">
        <v>0</v>
      </c>
      <c r="F53" s="68">
        <v>0</v>
      </c>
      <c r="G53" s="68">
        <v>0</v>
      </c>
      <c r="H53" s="68">
        <v>0</v>
      </c>
      <c r="I53" s="68">
        <v>1200</v>
      </c>
      <c r="J53" s="68">
        <v>0</v>
      </c>
      <c r="K53" s="68">
        <v>0</v>
      </c>
      <c r="L53" s="68">
        <v>0</v>
      </c>
      <c r="M53" s="68">
        <v>4730</v>
      </c>
      <c r="N53" s="68">
        <v>0</v>
      </c>
      <c r="O53" s="68">
        <v>0</v>
      </c>
      <c r="P53" s="68">
        <v>0</v>
      </c>
      <c r="Q53" s="68">
        <f>SUM(E53:P53)</f>
        <v>5930</v>
      </c>
      <c r="R53" s="65"/>
    </row>
    <row r="54" spans="1:18" s="66" customFormat="1">
      <c r="A54" s="67">
        <v>53</v>
      </c>
      <c r="B54" s="78" t="s">
        <v>116</v>
      </c>
      <c r="C54" s="79" t="s">
        <v>117</v>
      </c>
      <c r="D54" s="79" t="s">
        <v>90</v>
      </c>
      <c r="E54" s="68">
        <v>0</v>
      </c>
      <c r="F54" s="68">
        <v>0</v>
      </c>
      <c r="G54" s="68">
        <v>0</v>
      </c>
      <c r="H54" s="68">
        <v>0</v>
      </c>
      <c r="I54" s="68">
        <v>1200</v>
      </c>
      <c r="J54" s="68">
        <v>0</v>
      </c>
      <c r="K54" s="68">
        <v>0</v>
      </c>
      <c r="L54" s="68">
        <v>0</v>
      </c>
      <c r="M54" s="68">
        <v>0</v>
      </c>
      <c r="N54" s="68">
        <v>0</v>
      </c>
      <c r="O54" s="68">
        <v>0</v>
      </c>
      <c r="P54" s="68">
        <v>0</v>
      </c>
      <c r="Q54" s="68">
        <f>SUM(E54:P54)</f>
        <v>1200</v>
      </c>
      <c r="R54" s="65"/>
    </row>
    <row r="55" spans="1:18" s="66" customFormat="1" ht="30.75">
      <c r="A55" s="67">
        <v>54</v>
      </c>
      <c r="B55" s="78" t="s">
        <v>118</v>
      </c>
      <c r="C55" s="79" t="s">
        <v>119</v>
      </c>
      <c r="D55" s="79" t="s">
        <v>69</v>
      </c>
      <c r="E55" s="68">
        <v>0</v>
      </c>
      <c r="F55" s="68">
        <v>0</v>
      </c>
      <c r="G55" s="68">
        <v>0</v>
      </c>
      <c r="H55" s="68">
        <v>4755</v>
      </c>
      <c r="I55" s="68">
        <v>0</v>
      </c>
      <c r="J55" s="68">
        <v>0</v>
      </c>
      <c r="K55" s="68">
        <v>0</v>
      </c>
      <c r="L55" s="68">
        <v>0</v>
      </c>
      <c r="M55" s="68">
        <v>0</v>
      </c>
      <c r="N55" s="68">
        <v>0</v>
      </c>
      <c r="O55" s="68">
        <v>0</v>
      </c>
      <c r="P55" s="68">
        <v>0</v>
      </c>
      <c r="Q55" s="68">
        <f>SUM(E55:P55)</f>
        <v>4755</v>
      </c>
      <c r="R55" s="65"/>
    </row>
    <row r="56" spans="1:18" s="66" customFormat="1">
      <c r="A56" s="67">
        <v>55</v>
      </c>
      <c r="B56" s="78" t="s">
        <v>120</v>
      </c>
      <c r="C56" s="79" t="s">
        <v>121</v>
      </c>
      <c r="D56" s="79" t="s">
        <v>122</v>
      </c>
      <c r="E56" s="68">
        <v>23520</v>
      </c>
      <c r="F56" s="68">
        <v>0</v>
      </c>
      <c r="G56" s="68">
        <v>0</v>
      </c>
      <c r="H56" s="68">
        <v>0</v>
      </c>
      <c r="I56" s="68">
        <v>21000</v>
      </c>
      <c r="J56" s="68">
        <v>0</v>
      </c>
      <c r="K56" s="68">
        <v>0</v>
      </c>
      <c r="L56" s="68">
        <v>0</v>
      </c>
      <c r="M56" s="68">
        <v>0</v>
      </c>
      <c r="N56" s="68">
        <v>0</v>
      </c>
      <c r="O56" s="68">
        <v>21000</v>
      </c>
      <c r="P56" s="68">
        <v>0</v>
      </c>
      <c r="Q56" s="68">
        <f>SUM(E56:P56)</f>
        <v>65520</v>
      </c>
      <c r="R56" s="65"/>
    </row>
    <row r="57" spans="1:18" s="66" customFormat="1">
      <c r="A57" s="67">
        <v>56</v>
      </c>
      <c r="B57" s="78" t="s">
        <v>123</v>
      </c>
      <c r="C57" s="79" t="s">
        <v>124</v>
      </c>
      <c r="D57" s="79" t="s">
        <v>19</v>
      </c>
      <c r="E57" s="68">
        <v>0</v>
      </c>
      <c r="F57" s="68">
        <v>0</v>
      </c>
      <c r="G57" s="68">
        <v>0</v>
      </c>
      <c r="H57" s="68">
        <v>16500</v>
      </c>
      <c r="I57" s="68">
        <v>0</v>
      </c>
      <c r="J57" s="68">
        <v>0</v>
      </c>
      <c r="K57" s="68">
        <v>0</v>
      </c>
      <c r="L57" s="68">
        <v>0</v>
      </c>
      <c r="M57" s="68">
        <v>0</v>
      </c>
      <c r="N57" s="68">
        <v>9850</v>
      </c>
      <c r="O57" s="68">
        <v>0</v>
      </c>
      <c r="P57" s="68">
        <v>0</v>
      </c>
      <c r="Q57" s="68">
        <f>SUM(E57:P57)</f>
        <v>26350</v>
      </c>
      <c r="R57" s="65"/>
    </row>
    <row r="58" spans="1:18" s="66" customFormat="1">
      <c r="A58" s="67">
        <v>57</v>
      </c>
      <c r="B58" s="78" t="s">
        <v>125</v>
      </c>
      <c r="C58" s="79" t="s">
        <v>126</v>
      </c>
      <c r="D58" s="79" t="s">
        <v>19</v>
      </c>
      <c r="E58" s="68">
        <v>0</v>
      </c>
      <c r="F58" s="68">
        <v>0</v>
      </c>
      <c r="G58" s="68">
        <v>0</v>
      </c>
      <c r="H58" s="68">
        <v>10420</v>
      </c>
      <c r="I58" s="68">
        <v>0</v>
      </c>
      <c r="J58" s="68">
        <v>0</v>
      </c>
      <c r="K58" s="68">
        <v>0</v>
      </c>
      <c r="L58" s="68">
        <v>0</v>
      </c>
      <c r="M58" s="68">
        <v>0</v>
      </c>
      <c r="N58" s="68">
        <v>0</v>
      </c>
      <c r="O58" s="68">
        <v>0</v>
      </c>
      <c r="P58" s="68">
        <v>0</v>
      </c>
      <c r="Q58" s="68">
        <f>SUM(E58:P58)</f>
        <v>10420</v>
      </c>
      <c r="R58" s="65"/>
    </row>
    <row r="59" spans="1:18" s="66" customFormat="1">
      <c r="A59" s="67">
        <v>58</v>
      </c>
      <c r="B59" s="78" t="s">
        <v>127</v>
      </c>
      <c r="C59" s="79" t="s">
        <v>23</v>
      </c>
      <c r="D59" s="79" t="s">
        <v>30</v>
      </c>
      <c r="E59" s="68">
        <v>0</v>
      </c>
      <c r="F59" s="68">
        <v>0</v>
      </c>
      <c r="G59" s="68">
        <v>0</v>
      </c>
      <c r="H59" s="68">
        <v>0</v>
      </c>
      <c r="I59" s="68">
        <v>16500</v>
      </c>
      <c r="J59" s="68">
        <v>0</v>
      </c>
      <c r="K59" s="68">
        <v>0</v>
      </c>
      <c r="L59" s="68">
        <v>0</v>
      </c>
      <c r="M59" s="68">
        <v>0</v>
      </c>
      <c r="N59" s="68">
        <v>0</v>
      </c>
      <c r="O59" s="68">
        <v>0</v>
      </c>
      <c r="P59" s="68">
        <v>0</v>
      </c>
      <c r="Q59" s="68">
        <f>SUM(E59:P59)</f>
        <v>16500</v>
      </c>
      <c r="R59" s="65"/>
    </row>
    <row r="60" spans="1:18" s="66" customFormat="1">
      <c r="A60" s="67">
        <v>59</v>
      </c>
      <c r="B60" s="78" t="s">
        <v>128</v>
      </c>
      <c r="C60" s="79" t="s">
        <v>129</v>
      </c>
      <c r="D60" s="79" t="s">
        <v>19</v>
      </c>
      <c r="E60" s="68">
        <v>0</v>
      </c>
      <c r="F60" s="68">
        <v>46806</v>
      </c>
      <c r="G60" s="68">
        <v>0</v>
      </c>
      <c r="H60" s="68">
        <v>0</v>
      </c>
      <c r="I60" s="68">
        <v>0</v>
      </c>
      <c r="J60" s="68">
        <v>720</v>
      </c>
      <c r="K60" s="68">
        <v>0</v>
      </c>
      <c r="L60" s="68">
        <v>0</v>
      </c>
      <c r="M60" s="68">
        <v>0</v>
      </c>
      <c r="N60" s="68">
        <v>0</v>
      </c>
      <c r="O60" s="68">
        <v>0</v>
      </c>
      <c r="P60" s="68">
        <v>0</v>
      </c>
      <c r="Q60" s="68">
        <f>SUM(E60:P60)</f>
        <v>47526</v>
      </c>
      <c r="R60" s="65"/>
    </row>
    <row r="61" spans="1:18" s="66" customFormat="1">
      <c r="A61" s="67">
        <v>60</v>
      </c>
      <c r="B61" s="78" t="s">
        <v>130</v>
      </c>
      <c r="C61" s="79" t="s">
        <v>131</v>
      </c>
      <c r="D61" s="79" t="s">
        <v>90</v>
      </c>
      <c r="E61" s="68">
        <v>0</v>
      </c>
      <c r="F61" s="68">
        <v>0</v>
      </c>
      <c r="G61" s="68">
        <v>0</v>
      </c>
      <c r="H61" s="68">
        <v>0</v>
      </c>
      <c r="I61" s="68">
        <v>0</v>
      </c>
      <c r="J61" s="68">
        <v>2660</v>
      </c>
      <c r="K61" s="68">
        <v>0</v>
      </c>
      <c r="L61" s="68">
        <v>0</v>
      </c>
      <c r="M61" s="68">
        <v>0</v>
      </c>
      <c r="N61" s="68">
        <v>0</v>
      </c>
      <c r="O61" s="68">
        <v>3200</v>
      </c>
      <c r="P61" s="68">
        <v>7351</v>
      </c>
      <c r="Q61" s="68">
        <f>SUM(E61:P61)</f>
        <v>13211</v>
      </c>
      <c r="R61" s="65"/>
    </row>
    <row r="62" spans="1:18" s="66" customFormat="1">
      <c r="A62" s="67">
        <v>61</v>
      </c>
      <c r="B62" s="78" t="s">
        <v>132</v>
      </c>
      <c r="C62" s="79" t="s">
        <v>23</v>
      </c>
      <c r="D62" s="79" t="s">
        <v>30</v>
      </c>
      <c r="E62" s="68">
        <v>0</v>
      </c>
      <c r="F62" s="68">
        <v>0</v>
      </c>
      <c r="G62" s="68">
        <v>0</v>
      </c>
      <c r="H62" s="68">
        <v>2209</v>
      </c>
      <c r="I62" s="68">
        <v>0</v>
      </c>
      <c r="J62" s="68">
        <v>0</v>
      </c>
      <c r="K62" s="68">
        <v>0</v>
      </c>
      <c r="L62" s="68">
        <v>0</v>
      </c>
      <c r="M62" s="68">
        <v>0</v>
      </c>
      <c r="N62" s="68">
        <v>0</v>
      </c>
      <c r="O62" s="68">
        <v>0</v>
      </c>
      <c r="P62" s="68">
        <v>0</v>
      </c>
      <c r="Q62" s="68">
        <f>SUM(E62:P62)</f>
        <v>2209</v>
      </c>
      <c r="R62" s="65"/>
    </row>
    <row r="63" spans="1:18" s="66" customFormat="1">
      <c r="A63" s="67">
        <v>62</v>
      </c>
      <c r="B63" s="78" t="s">
        <v>133</v>
      </c>
      <c r="C63" s="79" t="s">
        <v>134</v>
      </c>
      <c r="D63" s="79" t="s">
        <v>135</v>
      </c>
      <c r="E63" s="68">
        <v>0</v>
      </c>
      <c r="F63" s="68">
        <v>23400</v>
      </c>
      <c r="G63" s="68">
        <v>0</v>
      </c>
      <c r="H63" s="68">
        <v>0</v>
      </c>
      <c r="I63" s="68">
        <v>0</v>
      </c>
      <c r="J63" s="68">
        <v>0</v>
      </c>
      <c r="K63" s="68">
        <v>0</v>
      </c>
      <c r="L63" s="68">
        <v>0</v>
      </c>
      <c r="M63" s="68">
        <v>0</v>
      </c>
      <c r="N63" s="68">
        <v>0</v>
      </c>
      <c r="O63" s="68">
        <v>0</v>
      </c>
      <c r="P63" s="68">
        <v>0</v>
      </c>
      <c r="Q63" s="68">
        <f>SUM(E63:P63)</f>
        <v>23400</v>
      </c>
      <c r="R63" s="65"/>
    </row>
    <row r="64" spans="1:18" s="66" customFormat="1" ht="30.75">
      <c r="A64" s="67">
        <v>63</v>
      </c>
      <c r="B64" s="78" t="s">
        <v>136</v>
      </c>
      <c r="C64" s="79" t="s">
        <v>137</v>
      </c>
      <c r="D64" s="79" t="s">
        <v>19</v>
      </c>
      <c r="E64" s="68">
        <v>0</v>
      </c>
      <c r="F64" s="68">
        <v>0</v>
      </c>
      <c r="G64" s="68">
        <v>51170</v>
      </c>
      <c r="H64" s="68">
        <v>77537.5</v>
      </c>
      <c r="I64" s="68">
        <v>63960</v>
      </c>
      <c r="J64" s="68">
        <v>79110</v>
      </c>
      <c r="K64" s="68">
        <v>67100</v>
      </c>
      <c r="L64" s="68">
        <v>92205</v>
      </c>
      <c r="M64" s="68">
        <v>72320</v>
      </c>
      <c r="N64" s="68">
        <v>71570</v>
      </c>
      <c r="O64" s="68">
        <v>108750</v>
      </c>
      <c r="P64" s="68">
        <v>47027.5</v>
      </c>
      <c r="Q64" s="68">
        <f>SUM(E64:P64)</f>
        <v>730750</v>
      </c>
      <c r="R64" s="65"/>
    </row>
    <row r="65" spans="1:18" s="66" customFormat="1">
      <c r="A65" s="67">
        <v>64</v>
      </c>
      <c r="B65" s="78" t="s">
        <v>138</v>
      </c>
      <c r="C65" s="79" t="s">
        <v>139</v>
      </c>
      <c r="D65" s="79" t="s">
        <v>19</v>
      </c>
      <c r="E65" s="68">
        <v>0</v>
      </c>
      <c r="F65" s="68">
        <v>0</v>
      </c>
      <c r="G65" s="68">
        <v>0</v>
      </c>
      <c r="H65" s="68">
        <v>0</v>
      </c>
      <c r="I65" s="68">
        <v>0</v>
      </c>
      <c r="J65" s="68">
        <v>0</v>
      </c>
      <c r="K65" s="68">
        <v>0</v>
      </c>
      <c r="L65" s="68">
        <v>20100</v>
      </c>
      <c r="M65" s="68">
        <v>0</v>
      </c>
      <c r="N65" s="68">
        <v>0</v>
      </c>
      <c r="O65" s="68">
        <v>0</v>
      </c>
      <c r="P65" s="68">
        <v>0</v>
      </c>
      <c r="Q65" s="68">
        <f>SUM(E65:P65)</f>
        <v>20100</v>
      </c>
      <c r="R65" s="65"/>
    </row>
    <row r="66" spans="1:18" s="66" customFormat="1">
      <c r="A66" s="67">
        <v>65</v>
      </c>
      <c r="B66" s="78" t="s">
        <v>140</v>
      </c>
      <c r="C66" s="79" t="s">
        <v>141</v>
      </c>
      <c r="D66" s="79" t="s">
        <v>19</v>
      </c>
      <c r="E66" s="68">
        <v>7616</v>
      </c>
      <c r="F66" s="68">
        <v>0</v>
      </c>
      <c r="G66" s="68">
        <v>0</v>
      </c>
      <c r="H66" s="68">
        <v>0</v>
      </c>
      <c r="I66" s="68">
        <v>0</v>
      </c>
      <c r="J66" s="68">
        <v>0</v>
      </c>
      <c r="K66" s="68">
        <v>0</v>
      </c>
      <c r="L66" s="68">
        <v>0</v>
      </c>
      <c r="M66" s="68">
        <v>0</v>
      </c>
      <c r="N66" s="68">
        <v>0</v>
      </c>
      <c r="O66" s="68">
        <v>4600</v>
      </c>
      <c r="P66" s="68">
        <v>0</v>
      </c>
      <c r="Q66" s="68">
        <f>SUM(E66:P66)</f>
        <v>12216</v>
      </c>
      <c r="R66" s="65"/>
    </row>
    <row r="67" spans="1:18" s="66" customFormat="1" ht="30.75">
      <c r="A67" s="67">
        <v>66</v>
      </c>
      <c r="B67" s="78" t="s">
        <v>142</v>
      </c>
      <c r="C67" s="79" t="s">
        <v>143</v>
      </c>
      <c r="D67" s="79" t="s">
        <v>19</v>
      </c>
      <c r="E67" s="68">
        <v>1831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68">
        <v>0</v>
      </c>
      <c r="M67" s="68">
        <v>0</v>
      </c>
      <c r="N67" s="68">
        <v>0</v>
      </c>
      <c r="O67" s="68">
        <v>0</v>
      </c>
      <c r="P67" s="68">
        <v>0</v>
      </c>
      <c r="Q67" s="68">
        <f>SUM(E67:P67)</f>
        <v>1831</v>
      </c>
      <c r="R67" s="65"/>
    </row>
    <row r="68" spans="1:18" s="66" customFormat="1">
      <c r="A68" s="67">
        <v>67</v>
      </c>
      <c r="B68" s="78" t="s">
        <v>144</v>
      </c>
      <c r="C68" s="79" t="s">
        <v>23</v>
      </c>
      <c r="D68" s="79" t="s">
        <v>30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68">
        <v>0</v>
      </c>
      <c r="P68" s="68">
        <v>13000</v>
      </c>
      <c r="Q68" s="68">
        <f>SUM(E68:P68)</f>
        <v>13000</v>
      </c>
      <c r="R68" s="65"/>
    </row>
    <row r="69" spans="1:18" s="66" customFormat="1">
      <c r="A69" s="67">
        <v>68</v>
      </c>
      <c r="B69" s="78" t="s">
        <v>145</v>
      </c>
      <c r="C69" s="79" t="s">
        <v>146</v>
      </c>
      <c r="D69" s="79" t="s">
        <v>135</v>
      </c>
      <c r="E69" s="68">
        <v>162120</v>
      </c>
      <c r="F69" s="68">
        <v>99000</v>
      </c>
      <c r="G69" s="68">
        <v>164330</v>
      </c>
      <c r="H69" s="68">
        <v>78780</v>
      </c>
      <c r="I69" s="68">
        <v>18920</v>
      </c>
      <c r="J69" s="68">
        <v>80400</v>
      </c>
      <c r="K69" s="68">
        <v>28800</v>
      </c>
      <c r="L69" s="68">
        <v>284400</v>
      </c>
      <c r="M69" s="68">
        <v>237700</v>
      </c>
      <c r="N69" s="68">
        <v>0</v>
      </c>
      <c r="O69" s="68">
        <v>0</v>
      </c>
      <c r="P69" s="68">
        <v>0</v>
      </c>
      <c r="Q69" s="68">
        <f>SUM(E69:P69)</f>
        <v>1154450</v>
      </c>
      <c r="R69" s="65"/>
    </row>
    <row r="70" spans="1:18" s="66" customFormat="1">
      <c r="A70" s="67">
        <v>69</v>
      </c>
      <c r="B70" s="78" t="s">
        <v>147</v>
      </c>
      <c r="C70" s="79" t="s">
        <v>148</v>
      </c>
      <c r="D70" s="79" t="s">
        <v>19</v>
      </c>
      <c r="E70" s="68">
        <v>0</v>
      </c>
      <c r="F70" s="68">
        <v>8335</v>
      </c>
      <c r="G70" s="68">
        <v>9864</v>
      </c>
      <c r="H70" s="68">
        <v>13331</v>
      </c>
      <c r="I70" s="68">
        <v>30480</v>
      </c>
      <c r="J70" s="68">
        <v>21099</v>
      </c>
      <c r="K70" s="68">
        <v>15679</v>
      </c>
      <c r="L70" s="68">
        <v>15008</v>
      </c>
      <c r="M70" s="68">
        <v>14239</v>
      </c>
      <c r="N70" s="68">
        <v>14460</v>
      </c>
      <c r="O70" s="68">
        <v>13948</v>
      </c>
      <c r="P70" s="68">
        <v>3200</v>
      </c>
      <c r="Q70" s="68">
        <f>SUM(E70:P70)</f>
        <v>159643</v>
      </c>
      <c r="R70" s="65"/>
    </row>
    <row r="71" spans="1:18" s="66" customFormat="1">
      <c r="A71" s="67">
        <v>70</v>
      </c>
      <c r="B71" s="78" t="s">
        <v>149</v>
      </c>
      <c r="C71" s="79" t="s">
        <v>150</v>
      </c>
      <c r="D71" s="79" t="s">
        <v>151</v>
      </c>
      <c r="E71" s="68">
        <v>0</v>
      </c>
      <c r="F71" s="68">
        <v>0</v>
      </c>
      <c r="G71" s="68">
        <v>0</v>
      </c>
      <c r="H71" s="68">
        <v>0</v>
      </c>
      <c r="I71" s="68">
        <v>0</v>
      </c>
      <c r="J71" s="68">
        <v>27085</v>
      </c>
      <c r="K71" s="68">
        <v>3975</v>
      </c>
      <c r="L71" s="68">
        <v>0</v>
      </c>
      <c r="M71" s="68">
        <v>0</v>
      </c>
      <c r="N71" s="68">
        <v>0</v>
      </c>
      <c r="O71" s="68">
        <v>0</v>
      </c>
      <c r="P71" s="68">
        <v>0</v>
      </c>
      <c r="Q71" s="68">
        <f>SUM(E71:P71)</f>
        <v>31060</v>
      </c>
      <c r="R71" s="65"/>
    </row>
    <row r="72" spans="1:18" s="66" customFormat="1">
      <c r="A72" s="67">
        <v>71</v>
      </c>
      <c r="B72" s="78" t="s">
        <v>152</v>
      </c>
      <c r="C72" s="79" t="s">
        <v>23</v>
      </c>
      <c r="D72" s="79" t="s">
        <v>30</v>
      </c>
      <c r="E72" s="68">
        <v>0</v>
      </c>
      <c r="F72" s="68">
        <v>0</v>
      </c>
      <c r="G72" s="68">
        <v>0</v>
      </c>
      <c r="H72" s="68">
        <v>4760</v>
      </c>
      <c r="I72" s="68">
        <v>0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  <c r="O72" s="68">
        <v>0</v>
      </c>
      <c r="P72" s="68">
        <v>0</v>
      </c>
      <c r="Q72" s="68">
        <f>SUM(E72:P72)</f>
        <v>4760</v>
      </c>
      <c r="R72" s="65"/>
    </row>
    <row r="73" spans="1:18" s="66" customFormat="1">
      <c r="A73" s="67">
        <v>72</v>
      </c>
      <c r="B73" s="78" t="s">
        <v>153</v>
      </c>
      <c r="C73" s="79" t="s">
        <v>154</v>
      </c>
      <c r="D73" s="79" t="s">
        <v>55</v>
      </c>
      <c r="E73" s="68">
        <v>0</v>
      </c>
      <c r="F73" s="68">
        <v>0</v>
      </c>
      <c r="G73" s="68">
        <v>49383.75</v>
      </c>
      <c r="H73" s="68">
        <v>0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0</v>
      </c>
      <c r="P73" s="68">
        <v>0</v>
      </c>
      <c r="Q73" s="68">
        <f>SUM(E73:P73)</f>
        <v>49383.75</v>
      </c>
      <c r="R73" s="65"/>
    </row>
    <row r="74" spans="1:18" s="66" customFormat="1">
      <c r="A74" s="67">
        <v>73</v>
      </c>
      <c r="B74" s="78" t="s">
        <v>155</v>
      </c>
      <c r="C74" s="79" t="s">
        <v>23</v>
      </c>
      <c r="D74" s="79" t="s">
        <v>30</v>
      </c>
      <c r="E74" s="68">
        <v>0</v>
      </c>
      <c r="F74" s="68">
        <v>0</v>
      </c>
      <c r="G74" s="68">
        <v>0</v>
      </c>
      <c r="H74" s="68">
        <v>0</v>
      </c>
      <c r="I74" s="68">
        <v>0</v>
      </c>
      <c r="J74" s="68">
        <v>0</v>
      </c>
      <c r="K74" s="68">
        <v>0</v>
      </c>
      <c r="L74" s="68">
        <v>2552</v>
      </c>
      <c r="M74" s="68">
        <v>4200</v>
      </c>
      <c r="N74" s="68">
        <v>2552</v>
      </c>
      <c r="O74" s="68">
        <v>2552</v>
      </c>
      <c r="P74" s="68">
        <v>4200</v>
      </c>
      <c r="Q74" s="68">
        <f>SUM(E74:P74)</f>
        <v>16056</v>
      </c>
      <c r="R74" s="65"/>
    </row>
    <row r="75" spans="1:18" s="66" customFormat="1">
      <c r="A75" s="67">
        <v>74</v>
      </c>
      <c r="B75" s="78" t="s">
        <v>156</v>
      </c>
      <c r="C75" s="79" t="s">
        <v>157</v>
      </c>
      <c r="D75" s="79" t="s">
        <v>19</v>
      </c>
      <c r="E75" s="68">
        <v>0</v>
      </c>
      <c r="F75" s="68">
        <v>0</v>
      </c>
      <c r="G75" s="68">
        <v>0</v>
      </c>
      <c r="H75" s="68">
        <v>0</v>
      </c>
      <c r="I75" s="68">
        <v>35000</v>
      </c>
      <c r="J75" s="68">
        <v>0</v>
      </c>
      <c r="K75" s="68">
        <v>0</v>
      </c>
      <c r="L75" s="68">
        <v>0</v>
      </c>
      <c r="M75" s="68">
        <v>0</v>
      </c>
      <c r="N75" s="68">
        <v>0</v>
      </c>
      <c r="O75" s="68">
        <v>0</v>
      </c>
      <c r="P75" s="68">
        <v>0</v>
      </c>
      <c r="Q75" s="68">
        <f>SUM(E75:P75)</f>
        <v>35000</v>
      </c>
      <c r="R75" s="65"/>
    </row>
    <row r="76" spans="1:18" s="66" customFormat="1">
      <c r="A76" s="67">
        <v>75</v>
      </c>
      <c r="B76" s="78" t="s">
        <v>158</v>
      </c>
      <c r="C76" s="79" t="s">
        <v>159</v>
      </c>
      <c r="D76" s="79" t="s">
        <v>19</v>
      </c>
      <c r="E76" s="68">
        <v>0</v>
      </c>
      <c r="F76" s="68">
        <v>0</v>
      </c>
      <c r="G76" s="68">
        <v>0</v>
      </c>
      <c r="H76" s="68">
        <v>0</v>
      </c>
      <c r="I76" s="68">
        <v>0</v>
      </c>
      <c r="J76" s="68">
        <v>0</v>
      </c>
      <c r="K76" s="68">
        <v>0</v>
      </c>
      <c r="L76" s="68">
        <v>0</v>
      </c>
      <c r="M76" s="68">
        <v>0</v>
      </c>
      <c r="N76" s="68">
        <v>0</v>
      </c>
      <c r="O76" s="68">
        <v>760</v>
      </c>
      <c r="P76" s="68">
        <v>1520</v>
      </c>
      <c r="Q76" s="68">
        <f>SUM(E76:P76)</f>
        <v>2280</v>
      </c>
      <c r="R76" s="65"/>
    </row>
    <row r="77" spans="1:18" s="66" customFormat="1">
      <c r="A77" s="67">
        <v>76</v>
      </c>
      <c r="B77" s="78" t="s">
        <v>160</v>
      </c>
      <c r="C77" s="79" t="s">
        <v>161</v>
      </c>
      <c r="D77" s="79" t="s">
        <v>19</v>
      </c>
      <c r="E77" s="68">
        <v>0</v>
      </c>
      <c r="F77" s="68">
        <v>16071</v>
      </c>
      <c r="G77" s="68">
        <v>0</v>
      </c>
      <c r="H77" s="68">
        <v>0</v>
      </c>
      <c r="I77" s="68">
        <v>0</v>
      </c>
      <c r="J77" s="68">
        <v>115900</v>
      </c>
      <c r="K77" s="68">
        <v>10575</v>
      </c>
      <c r="L77" s="68">
        <v>0</v>
      </c>
      <c r="M77" s="68">
        <v>0</v>
      </c>
      <c r="N77" s="68">
        <v>0</v>
      </c>
      <c r="O77" s="68">
        <v>0</v>
      </c>
      <c r="P77" s="68">
        <v>0</v>
      </c>
      <c r="Q77" s="68">
        <f>SUM(E77:P77)</f>
        <v>142546</v>
      </c>
      <c r="R77" s="65"/>
    </row>
    <row r="78" spans="1:18" s="66" customFormat="1">
      <c r="A78" s="67">
        <v>77</v>
      </c>
      <c r="B78" s="78" t="s">
        <v>162</v>
      </c>
      <c r="C78" s="79" t="s">
        <v>23</v>
      </c>
      <c r="D78" s="79" t="s">
        <v>30</v>
      </c>
      <c r="E78" s="68">
        <v>0</v>
      </c>
      <c r="F78" s="68">
        <v>0</v>
      </c>
      <c r="G78" s="68">
        <v>0</v>
      </c>
      <c r="H78" s="68">
        <v>0</v>
      </c>
      <c r="I78" s="68">
        <v>0</v>
      </c>
      <c r="J78" s="68">
        <v>0</v>
      </c>
      <c r="K78" s="68">
        <v>0</v>
      </c>
      <c r="L78" s="68">
        <v>0</v>
      </c>
      <c r="M78" s="68">
        <v>0</v>
      </c>
      <c r="N78" s="68">
        <v>19975</v>
      </c>
      <c r="O78" s="68">
        <v>75480</v>
      </c>
      <c r="P78" s="68">
        <v>0</v>
      </c>
      <c r="Q78" s="68">
        <f>SUM(E78:P78)</f>
        <v>95455</v>
      </c>
      <c r="R78" s="65"/>
    </row>
    <row r="79" spans="1:18" s="66" customFormat="1">
      <c r="A79" s="67">
        <v>78</v>
      </c>
      <c r="B79" s="78" t="s">
        <v>163</v>
      </c>
      <c r="C79" s="79" t="s">
        <v>23</v>
      </c>
      <c r="D79" s="79" t="s">
        <v>30</v>
      </c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0</v>
      </c>
      <c r="K79" s="68">
        <v>0</v>
      </c>
      <c r="L79" s="68">
        <v>0</v>
      </c>
      <c r="M79" s="68">
        <v>0</v>
      </c>
      <c r="N79" s="68">
        <v>5800</v>
      </c>
      <c r="O79" s="68">
        <v>0</v>
      </c>
      <c r="P79" s="68">
        <v>0</v>
      </c>
      <c r="Q79" s="68">
        <f>SUM(E79:P79)</f>
        <v>5800</v>
      </c>
      <c r="R79" s="65"/>
    </row>
    <row r="80" spans="1:18" s="66" customFormat="1">
      <c r="A80" s="67">
        <v>79</v>
      </c>
      <c r="B80" s="78" t="s">
        <v>164</v>
      </c>
      <c r="C80" s="79" t="s">
        <v>165</v>
      </c>
      <c r="D80" s="79" t="s">
        <v>28</v>
      </c>
      <c r="E80" s="68">
        <v>0</v>
      </c>
      <c r="F80" s="68">
        <v>0</v>
      </c>
      <c r="G80" s="68">
        <v>0</v>
      </c>
      <c r="H80" s="68">
        <v>0</v>
      </c>
      <c r="I80" s="68">
        <v>0</v>
      </c>
      <c r="J80" s="68">
        <v>0</v>
      </c>
      <c r="K80" s="68">
        <v>0</v>
      </c>
      <c r="L80" s="68">
        <v>0</v>
      </c>
      <c r="M80" s="68">
        <v>0</v>
      </c>
      <c r="N80" s="68">
        <v>0</v>
      </c>
      <c r="O80" s="68">
        <v>11250</v>
      </c>
      <c r="P80" s="68">
        <v>0</v>
      </c>
      <c r="Q80" s="68">
        <f>SUM(E80:P80)</f>
        <v>11250</v>
      </c>
      <c r="R80" s="65"/>
    </row>
    <row r="81" spans="1:18" s="66" customFormat="1">
      <c r="A81" s="67">
        <v>80</v>
      </c>
      <c r="B81" s="78" t="s">
        <v>166</v>
      </c>
      <c r="C81" s="79" t="s">
        <v>23</v>
      </c>
      <c r="D81" s="79" t="s">
        <v>30</v>
      </c>
      <c r="E81" s="68">
        <v>5488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  <c r="K81" s="68">
        <v>0</v>
      </c>
      <c r="L81" s="68">
        <v>0</v>
      </c>
      <c r="M81" s="68">
        <v>0</v>
      </c>
      <c r="N81" s="68">
        <v>0</v>
      </c>
      <c r="O81" s="68">
        <v>0</v>
      </c>
      <c r="P81" s="68">
        <v>0</v>
      </c>
      <c r="Q81" s="68">
        <f>SUM(E81:P81)</f>
        <v>5488</v>
      </c>
      <c r="R81" s="65"/>
    </row>
    <row r="82" spans="1:18" s="66" customFormat="1">
      <c r="A82" s="67">
        <v>81</v>
      </c>
      <c r="B82" s="78" t="s">
        <v>167</v>
      </c>
      <c r="C82" s="79" t="s">
        <v>23</v>
      </c>
      <c r="D82" s="79" t="s">
        <v>30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18000</v>
      </c>
      <c r="K82" s="68">
        <v>0</v>
      </c>
      <c r="L82" s="68">
        <v>0</v>
      </c>
      <c r="M82" s="68">
        <v>0</v>
      </c>
      <c r="N82" s="68">
        <v>0</v>
      </c>
      <c r="O82" s="68">
        <v>0</v>
      </c>
      <c r="P82" s="68">
        <v>0</v>
      </c>
      <c r="Q82" s="68">
        <f>SUM(E82:P82)</f>
        <v>18000</v>
      </c>
      <c r="R82" s="65"/>
    </row>
    <row r="83" spans="1:18" s="66" customFormat="1">
      <c r="A83" s="67">
        <v>82</v>
      </c>
      <c r="B83" s="78" t="s">
        <v>168</v>
      </c>
      <c r="C83" s="79" t="s">
        <v>169</v>
      </c>
      <c r="D83" s="79" t="s">
        <v>170</v>
      </c>
      <c r="E83" s="68">
        <v>0</v>
      </c>
      <c r="F83" s="68">
        <v>0</v>
      </c>
      <c r="G83" s="68">
        <v>0</v>
      </c>
      <c r="H83" s="68">
        <v>0</v>
      </c>
      <c r="I83" s="68">
        <v>0</v>
      </c>
      <c r="J83" s="68">
        <v>0</v>
      </c>
      <c r="K83" s="68">
        <v>0</v>
      </c>
      <c r="L83" s="68">
        <v>2300</v>
      </c>
      <c r="M83" s="68">
        <v>0</v>
      </c>
      <c r="N83" s="68">
        <v>0</v>
      </c>
      <c r="O83" s="68">
        <v>0</v>
      </c>
      <c r="P83" s="68">
        <v>0</v>
      </c>
      <c r="Q83" s="68">
        <f>SUM(E83:P83)</f>
        <v>2300</v>
      </c>
      <c r="R83" s="65"/>
    </row>
    <row r="84" spans="1:18" s="66" customFormat="1">
      <c r="A84" s="67">
        <v>83</v>
      </c>
      <c r="B84" s="78" t="s">
        <v>171</v>
      </c>
      <c r="C84" s="79" t="s">
        <v>172</v>
      </c>
      <c r="D84" s="79" t="s">
        <v>19</v>
      </c>
      <c r="E84" s="68">
        <v>0</v>
      </c>
      <c r="F84" s="68">
        <v>0</v>
      </c>
      <c r="G84" s="68">
        <v>0</v>
      </c>
      <c r="H84" s="68">
        <v>0</v>
      </c>
      <c r="I84" s="68">
        <v>0</v>
      </c>
      <c r="J84" s="68">
        <v>0</v>
      </c>
      <c r="K84" s="68">
        <v>0</v>
      </c>
      <c r="L84" s="68">
        <v>7040</v>
      </c>
      <c r="M84" s="68">
        <v>0</v>
      </c>
      <c r="N84" s="68">
        <v>0</v>
      </c>
      <c r="O84" s="68">
        <v>0</v>
      </c>
      <c r="P84" s="68">
        <v>0</v>
      </c>
      <c r="Q84" s="68">
        <f>SUM(E84:P84)</f>
        <v>7040</v>
      </c>
      <c r="R84" s="65"/>
    </row>
    <row r="85" spans="1:18" s="66" customFormat="1">
      <c r="A85" s="67">
        <v>84</v>
      </c>
      <c r="B85" s="78" t="s">
        <v>173</v>
      </c>
      <c r="C85" s="79" t="s">
        <v>23</v>
      </c>
      <c r="D85" s="79" t="s">
        <v>30</v>
      </c>
      <c r="E85" s="68">
        <v>6372</v>
      </c>
      <c r="F85" s="68">
        <v>0</v>
      </c>
      <c r="G85" s="68">
        <v>0</v>
      </c>
      <c r="H85" s="68">
        <v>0</v>
      </c>
      <c r="I85" s="68">
        <v>0</v>
      </c>
      <c r="J85" s="68">
        <v>0</v>
      </c>
      <c r="K85" s="68">
        <v>0</v>
      </c>
      <c r="L85" s="68">
        <v>0</v>
      </c>
      <c r="M85" s="68">
        <v>0</v>
      </c>
      <c r="N85" s="68">
        <v>0</v>
      </c>
      <c r="O85" s="68">
        <v>0</v>
      </c>
      <c r="P85" s="68">
        <v>0</v>
      </c>
      <c r="Q85" s="68">
        <f>SUM(E85:P85)</f>
        <v>6372</v>
      </c>
      <c r="R85" s="65"/>
    </row>
    <row r="86" spans="1:18" s="66" customFormat="1">
      <c r="A86" s="67">
        <v>85</v>
      </c>
      <c r="B86" s="78" t="s">
        <v>174</v>
      </c>
      <c r="C86" s="79" t="s">
        <v>23</v>
      </c>
      <c r="D86" s="79" t="s">
        <v>30</v>
      </c>
      <c r="E86" s="68">
        <v>3000</v>
      </c>
      <c r="F86" s="68">
        <v>0</v>
      </c>
      <c r="G86" s="68">
        <v>6365</v>
      </c>
      <c r="H86" s="68">
        <v>5647</v>
      </c>
      <c r="I86" s="68">
        <v>750</v>
      </c>
      <c r="J86" s="68">
        <v>0</v>
      </c>
      <c r="K86" s="68">
        <v>1400</v>
      </c>
      <c r="L86" s="68">
        <v>1675</v>
      </c>
      <c r="M86" s="68">
        <v>562.5</v>
      </c>
      <c r="N86" s="68">
        <v>0</v>
      </c>
      <c r="O86" s="68">
        <v>5425</v>
      </c>
      <c r="P86" s="68">
        <v>250800</v>
      </c>
      <c r="Q86" s="68">
        <f>SUM(E86:P86)</f>
        <v>275624.5</v>
      </c>
      <c r="R86" s="65"/>
    </row>
    <row r="87" spans="1:18" s="66" customFormat="1">
      <c r="A87" s="67">
        <v>86</v>
      </c>
      <c r="B87" s="78" t="s">
        <v>175</v>
      </c>
      <c r="C87" s="79" t="s">
        <v>176</v>
      </c>
      <c r="D87" s="79" t="s">
        <v>177</v>
      </c>
      <c r="E87" s="68">
        <v>0</v>
      </c>
      <c r="F87" s="68">
        <v>0</v>
      </c>
      <c r="G87" s="68">
        <v>0</v>
      </c>
      <c r="H87" s="68">
        <v>2450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f>SUM(E87:P87)</f>
        <v>2450</v>
      </c>
      <c r="R87" s="65"/>
    </row>
    <row r="88" spans="1:18" s="66" customFormat="1" ht="30.75">
      <c r="A88" s="67">
        <v>87</v>
      </c>
      <c r="B88" s="78" t="s">
        <v>178</v>
      </c>
      <c r="C88" s="79" t="s">
        <v>179</v>
      </c>
      <c r="D88" s="79" t="s">
        <v>90</v>
      </c>
      <c r="E88" s="68">
        <v>0</v>
      </c>
      <c r="F88" s="68">
        <v>0</v>
      </c>
      <c r="G88" s="68">
        <v>1650</v>
      </c>
      <c r="H88" s="68">
        <v>0</v>
      </c>
      <c r="I88" s="68">
        <v>0</v>
      </c>
      <c r="J88" s="68">
        <v>0</v>
      </c>
      <c r="K88" s="68">
        <v>0</v>
      </c>
      <c r="L88" s="68">
        <v>0</v>
      </c>
      <c r="M88" s="68">
        <v>0</v>
      </c>
      <c r="N88" s="68">
        <v>0</v>
      </c>
      <c r="O88" s="68">
        <v>0</v>
      </c>
      <c r="P88" s="68">
        <v>0</v>
      </c>
      <c r="Q88" s="68">
        <f>SUM(E88:P88)</f>
        <v>1650</v>
      </c>
      <c r="R88" s="65"/>
    </row>
    <row r="89" spans="1:18" s="66" customFormat="1">
      <c r="A89" s="67">
        <v>88</v>
      </c>
      <c r="B89" s="78" t="s">
        <v>180</v>
      </c>
      <c r="C89" s="79" t="s">
        <v>181</v>
      </c>
      <c r="D89" s="79" t="s">
        <v>19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68">
        <v>0</v>
      </c>
      <c r="M89" s="68">
        <v>0</v>
      </c>
      <c r="N89" s="68">
        <v>0</v>
      </c>
      <c r="O89" s="68">
        <v>0</v>
      </c>
      <c r="P89" s="68">
        <v>5840</v>
      </c>
      <c r="Q89" s="68">
        <f>SUM(E89:P89)</f>
        <v>5840</v>
      </c>
      <c r="R89" s="65"/>
    </row>
    <row r="90" spans="1:18" s="66" customFormat="1">
      <c r="A90" s="67">
        <v>89</v>
      </c>
      <c r="B90" s="78" t="s">
        <v>182</v>
      </c>
      <c r="C90" s="79" t="s">
        <v>23</v>
      </c>
      <c r="D90" s="79" t="s">
        <v>30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68">
        <v>500</v>
      </c>
      <c r="M90" s="68">
        <v>1800</v>
      </c>
      <c r="N90" s="68">
        <v>0</v>
      </c>
      <c r="O90" s="68">
        <v>0</v>
      </c>
      <c r="P90" s="68">
        <v>0</v>
      </c>
      <c r="Q90" s="68">
        <f>SUM(E90:P90)</f>
        <v>2300</v>
      </c>
      <c r="R90" s="65"/>
    </row>
    <row r="91" spans="1:18" s="66" customFormat="1">
      <c r="A91" s="67">
        <v>90</v>
      </c>
      <c r="B91" s="78" t="s">
        <v>183</v>
      </c>
      <c r="C91" s="79" t="s">
        <v>23</v>
      </c>
      <c r="D91" s="79" t="s">
        <v>30</v>
      </c>
      <c r="E91" s="68">
        <v>0</v>
      </c>
      <c r="F91" s="68">
        <v>0</v>
      </c>
      <c r="G91" s="68">
        <v>0</v>
      </c>
      <c r="H91" s="68">
        <v>0</v>
      </c>
      <c r="I91" s="68">
        <v>0</v>
      </c>
      <c r="J91" s="68">
        <v>9750</v>
      </c>
      <c r="K91" s="68">
        <v>0</v>
      </c>
      <c r="L91" s="68">
        <v>0</v>
      </c>
      <c r="M91" s="68">
        <v>0</v>
      </c>
      <c r="N91" s="68">
        <v>0</v>
      </c>
      <c r="O91" s="68">
        <v>0</v>
      </c>
      <c r="P91" s="68">
        <v>0</v>
      </c>
      <c r="Q91" s="68">
        <f>SUM(E91:P91)</f>
        <v>9750</v>
      </c>
      <c r="R91" s="65"/>
    </row>
    <row r="92" spans="1:18" s="66" customFormat="1">
      <c r="A92" s="67">
        <v>91</v>
      </c>
      <c r="B92" s="78" t="s">
        <v>184</v>
      </c>
      <c r="C92" s="79" t="s">
        <v>185</v>
      </c>
      <c r="D92" s="79" t="s">
        <v>19</v>
      </c>
      <c r="E92" s="68">
        <v>0</v>
      </c>
      <c r="F92" s="68">
        <v>0</v>
      </c>
      <c r="G92" s="68">
        <v>0</v>
      </c>
      <c r="H92" s="68">
        <v>0</v>
      </c>
      <c r="I92" s="68">
        <v>0</v>
      </c>
      <c r="J92" s="68">
        <v>0</v>
      </c>
      <c r="K92" s="68">
        <v>0</v>
      </c>
      <c r="L92" s="68">
        <v>0</v>
      </c>
      <c r="M92" s="68">
        <v>0</v>
      </c>
      <c r="N92" s="68">
        <v>8825</v>
      </c>
      <c r="O92" s="68">
        <v>0</v>
      </c>
      <c r="P92" s="68">
        <v>0</v>
      </c>
      <c r="Q92" s="68">
        <f>SUM(E92:P92)</f>
        <v>8825</v>
      </c>
      <c r="R92" s="65"/>
    </row>
    <row r="93" spans="1:18" s="66" customFormat="1">
      <c r="A93" s="67">
        <v>92</v>
      </c>
      <c r="B93" s="78" t="s">
        <v>186</v>
      </c>
      <c r="C93" s="79" t="s">
        <v>23</v>
      </c>
      <c r="D93" s="79" t="s">
        <v>30</v>
      </c>
      <c r="E93" s="68">
        <v>0</v>
      </c>
      <c r="F93" s="68">
        <v>0</v>
      </c>
      <c r="G93" s="68">
        <v>0</v>
      </c>
      <c r="H93" s="68">
        <v>0</v>
      </c>
      <c r="I93" s="68">
        <v>0</v>
      </c>
      <c r="J93" s="68">
        <v>149480</v>
      </c>
      <c r="K93" s="68">
        <v>26250</v>
      </c>
      <c r="L93" s="68">
        <v>0</v>
      </c>
      <c r="M93" s="68">
        <v>0</v>
      </c>
      <c r="N93" s="68">
        <v>0</v>
      </c>
      <c r="O93" s="68">
        <v>0</v>
      </c>
      <c r="P93" s="68">
        <v>0</v>
      </c>
      <c r="Q93" s="68">
        <f>SUM(E93:P93)</f>
        <v>175730</v>
      </c>
      <c r="R93" s="65"/>
    </row>
    <row r="94" spans="1:18" s="66" customFormat="1">
      <c r="A94" s="67">
        <v>93</v>
      </c>
      <c r="B94" s="78" t="s">
        <v>187</v>
      </c>
      <c r="C94" s="79" t="s">
        <v>188</v>
      </c>
      <c r="D94" s="79" t="s">
        <v>151</v>
      </c>
      <c r="E94" s="68">
        <v>0</v>
      </c>
      <c r="F94" s="68">
        <v>0</v>
      </c>
      <c r="G94" s="68">
        <v>0</v>
      </c>
      <c r="H94" s="68">
        <v>0</v>
      </c>
      <c r="I94" s="68">
        <v>0</v>
      </c>
      <c r="J94" s="68">
        <v>12600</v>
      </c>
      <c r="K94" s="68">
        <v>0</v>
      </c>
      <c r="L94" s="68">
        <v>14550</v>
      </c>
      <c r="M94" s="68">
        <v>0</v>
      </c>
      <c r="N94" s="68">
        <v>0</v>
      </c>
      <c r="O94" s="68">
        <v>0</v>
      </c>
      <c r="P94" s="68">
        <v>0</v>
      </c>
      <c r="Q94" s="68">
        <f>SUM(E94:P94)</f>
        <v>27150</v>
      </c>
      <c r="R94" s="65"/>
    </row>
    <row r="95" spans="1:18" s="66" customFormat="1">
      <c r="A95" s="67">
        <v>94</v>
      </c>
      <c r="B95" s="78" t="s">
        <v>189</v>
      </c>
      <c r="C95" s="79" t="s">
        <v>190</v>
      </c>
      <c r="D95" s="79" t="s">
        <v>104</v>
      </c>
      <c r="E95" s="68">
        <v>0</v>
      </c>
      <c r="F95" s="68">
        <v>0</v>
      </c>
      <c r="G95" s="68">
        <v>0</v>
      </c>
      <c r="H95" s="68">
        <v>0</v>
      </c>
      <c r="I95" s="68">
        <v>0</v>
      </c>
      <c r="J95" s="68">
        <v>49000</v>
      </c>
      <c r="K95" s="68">
        <v>0</v>
      </c>
      <c r="L95" s="68">
        <v>0</v>
      </c>
      <c r="M95" s="68">
        <v>0</v>
      </c>
      <c r="N95" s="68">
        <v>0</v>
      </c>
      <c r="O95" s="68">
        <v>0</v>
      </c>
      <c r="P95" s="68">
        <v>0</v>
      </c>
      <c r="Q95" s="68">
        <f>SUM(E95:P95)</f>
        <v>49000</v>
      </c>
      <c r="R95" s="65"/>
    </row>
    <row r="96" spans="1:18" s="66" customFormat="1">
      <c r="A96" s="67">
        <v>95</v>
      </c>
      <c r="B96" s="78" t="s">
        <v>191</v>
      </c>
      <c r="C96" s="79" t="s">
        <v>192</v>
      </c>
      <c r="D96" s="79" t="s">
        <v>19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68">
        <v>0</v>
      </c>
      <c r="M96" s="68">
        <v>0</v>
      </c>
      <c r="N96" s="68">
        <v>9360</v>
      </c>
      <c r="O96" s="68">
        <v>0</v>
      </c>
      <c r="P96" s="68">
        <v>0</v>
      </c>
      <c r="Q96" s="68">
        <f>SUM(E96:P96)</f>
        <v>9360</v>
      </c>
      <c r="R96" s="65"/>
    </row>
    <row r="97" spans="1:18" s="66" customFormat="1">
      <c r="A97" s="67">
        <v>96</v>
      </c>
      <c r="B97" s="78" t="s">
        <v>193</v>
      </c>
      <c r="C97" s="79" t="s">
        <v>194</v>
      </c>
      <c r="D97" s="79" t="s">
        <v>177</v>
      </c>
      <c r="E97" s="68">
        <v>0</v>
      </c>
      <c r="F97" s="68">
        <v>0</v>
      </c>
      <c r="G97" s="68">
        <v>0</v>
      </c>
      <c r="H97" s="68">
        <v>0</v>
      </c>
      <c r="I97" s="68">
        <v>0</v>
      </c>
      <c r="J97" s="68">
        <v>0</v>
      </c>
      <c r="K97" s="68">
        <v>0</v>
      </c>
      <c r="L97" s="68">
        <v>0</v>
      </c>
      <c r="M97" s="68">
        <v>0</v>
      </c>
      <c r="N97" s="68">
        <v>1450</v>
      </c>
      <c r="O97" s="68">
        <v>0</v>
      </c>
      <c r="P97" s="68">
        <v>0</v>
      </c>
      <c r="Q97" s="68">
        <f>SUM(E97:P97)</f>
        <v>1450</v>
      </c>
      <c r="R97" s="65"/>
    </row>
    <row r="98" spans="1:18" s="66" customFormat="1">
      <c r="A98" s="67">
        <v>97</v>
      </c>
      <c r="B98" s="78" t="s">
        <v>195</v>
      </c>
      <c r="C98" s="79" t="s">
        <v>196</v>
      </c>
      <c r="D98" s="79" t="s">
        <v>122</v>
      </c>
      <c r="E98" s="68">
        <v>0</v>
      </c>
      <c r="F98" s="68">
        <v>0</v>
      </c>
      <c r="G98" s="68">
        <v>0</v>
      </c>
      <c r="H98" s="68">
        <v>2988</v>
      </c>
      <c r="I98" s="68">
        <v>0</v>
      </c>
      <c r="J98" s="68">
        <v>0</v>
      </c>
      <c r="K98" s="68">
        <v>0</v>
      </c>
      <c r="L98" s="68">
        <v>0</v>
      </c>
      <c r="M98" s="68">
        <v>0</v>
      </c>
      <c r="N98" s="68">
        <v>0</v>
      </c>
      <c r="O98" s="68">
        <v>0</v>
      </c>
      <c r="P98" s="68">
        <v>0</v>
      </c>
      <c r="Q98" s="68">
        <f>SUM(E98:P98)</f>
        <v>2988</v>
      </c>
      <c r="R98" s="65"/>
    </row>
    <row r="99" spans="1:18" s="66" customFormat="1">
      <c r="A99" s="67">
        <v>98</v>
      </c>
      <c r="B99" s="78" t="s">
        <v>197</v>
      </c>
      <c r="C99" s="79" t="s">
        <v>23</v>
      </c>
      <c r="D99" s="79" t="s">
        <v>30</v>
      </c>
      <c r="E99" s="68">
        <v>0</v>
      </c>
      <c r="F99" s="68">
        <v>0</v>
      </c>
      <c r="G99" s="68">
        <v>0</v>
      </c>
      <c r="H99" s="68">
        <v>0</v>
      </c>
      <c r="I99" s="68">
        <v>4140</v>
      </c>
      <c r="J99" s="68">
        <v>0</v>
      </c>
      <c r="K99" s="68">
        <v>0</v>
      </c>
      <c r="L99" s="68">
        <v>0</v>
      </c>
      <c r="M99" s="68">
        <v>0</v>
      </c>
      <c r="N99" s="68">
        <v>0</v>
      </c>
      <c r="O99" s="68">
        <v>0</v>
      </c>
      <c r="P99" s="68">
        <v>0</v>
      </c>
      <c r="Q99" s="68">
        <f>SUM(E99:P99)</f>
        <v>4140</v>
      </c>
      <c r="R99" s="65"/>
    </row>
    <row r="100" spans="1:18" s="66" customFormat="1">
      <c r="A100" s="67">
        <v>99</v>
      </c>
      <c r="B100" s="78" t="s">
        <v>198</v>
      </c>
      <c r="C100" s="79" t="s">
        <v>199</v>
      </c>
      <c r="D100" s="79" t="s">
        <v>104</v>
      </c>
      <c r="E100" s="68">
        <v>0</v>
      </c>
      <c r="F100" s="68">
        <v>0</v>
      </c>
      <c r="G100" s="68">
        <v>0</v>
      </c>
      <c r="H100" s="68">
        <v>0</v>
      </c>
      <c r="I100" s="68">
        <v>0</v>
      </c>
      <c r="J100" s="68">
        <v>0</v>
      </c>
      <c r="K100" s="68">
        <v>172500</v>
      </c>
      <c r="L100" s="68">
        <v>0</v>
      </c>
      <c r="M100" s="68">
        <v>0</v>
      </c>
      <c r="N100" s="68">
        <v>0</v>
      </c>
      <c r="O100" s="68">
        <v>172500</v>
      </c>
      <c r="P100" s="68">
        <v>0</v>
      </c>
      <c r="Q100" s="68">
        <f>SUM(E100:P100)</f>
        <v>345000</v>
      </c>
      <c r="R100" s="65"/>
    </row>
    <row r="101" spans="1:18" s="66" customFormat="1">
      <c r="A101" s="67">
        <v>100</v>
      </c>
      <c r="B101" s="78" t="s">
        <v>200</v>
      </c>
      <c r="C101" s="79" t="s">
        <v>201</v>
      </c>
      <c r="D101" s="79" t="s">
        <v>151</v>
      </c>
      <c r="E101" s="68">
        <v>4704</v>
      </c>
      <c r="F101" s="68">
        <v>4200</v>
      </c>
      <c r="G101" s="68" t="s">
        <v>23</v>
      </c>
      <c r="H101" s="68">
        <v>8400</v>
      </c>
      <c r="I101" s="68">
        <v>8400</v>
      </c>
      <c r="J101" s="68">
        <v>0</v>
      </c>
      <c r="K101" s="68">
        <v>8400</v>
      </c>
      <c r="L101" s="68">
        <v>8400</v>
      </c>
      <c r="M101" s="68">
        <v>4200</v>
      </c>
      <c r="N101" s="68">
        <v>0</v>
      </c>
      <c r="O101" s="68">
        <v>0</v>
      </c>
      <c r="P101" s="68">
        <v>0</v>
      </c>
      <c r="Q101" s="68">
        <f>SUM(E101:P101)</f>
        <v>46704</v>
      </c>
      <c r="R101" s="65"/>
    </row>
    <row r="102" spans="1:18" s="66" customFormat="1">
      <c r="A102" s="67">
        <v>101</v>
      </c>
      <c r="B102" s="78" t="s">
        <v>202</v>
      </c>
      <c r="C102" s="79" t="s">
        <v>203</v>
      </c>
      <c r="D102" s="79" t="s">
        <v>177</v>
      </c>
      <c r="E102" s="68">
        <v>0</v>
      </c>
      <c r="F102" s="68">
        <v>0</v>
      </c>
      <c r="G102" s="68">
        <v>3000</v>
      </c>
      <c r="H102" s="68">
        <v>25520</v>
      </c>
      <c r="I102" s="68">
        <v>0</v>
      </c>
      <c r="J102" s="68">
        <v>0</v>
      </c>
      <c r="K102" s="68">
        <v>0</v>
      </c>
      <c r="L102" s="68">
        <v>0</v>
      </c>
      <c r="M102" s="68">
        <v>0</v>
      </c>
      <c r="N102" s="68">
        <v>0</v>
      </c>
      <c r="O102" s="68">
        <v>0</v>
      </c>
      <c r="P102" s="68">
        <v>0</v>
      </c>
      <c r="Q102" s="68">
        <f>SUM(E102:P102)</f>
        <v>28520</v>
      </c>
      <c r="R102" s="65"/>
    </row>
    <row r="103" spans="1:18" s="66" customFormat="1" ht="30.75">
      <c r="A103" s="67">
        <v>102</v>
      </c>
      <c r="B103" s="78" t="s">
        <v>204</v>
      </c>
      <c r="C103" s="79" t="s">
        <v>205</v>
      </c>
      <c r="D103" s="79" t="s">
        <v>90</v>
      </c>
      <c r="E103" s="68">
        <v>21506</v>
      </c>
      <c r="F103" s="68">
        <v>0</v>
      </c>
      <c r="G103" s="68">
        <v>0</v>
      </c>
      <c r="H103" s="68">
        <v>0</v>
      </c>
      <c r="I103" s="68">
        <v>0</v>
      </c>
      <c r="J103" s="68">
        <v>9375</v>
      </c>
      <c r="K103" s="68">
        <v>0</v>
      </c>
      <c r="L103" s="68">
        <v>0</v>
      </c>
      <c r="M103" s="68">
        <v>0</v>
      </c>
      <c r="N103" s="68">
        <v>0</v>
      </c>
      <c r="O103" s="68">
        <v>0</v>
      </c>
      <c r="P103" s="68">
        <v>0</v>
      </c>
      <c r="Q103" s="68">
        <f>SUM(E103:P103)</f>
        <v>30881</v>
      </c>
      <c r="R103" s="65"/>
    </row>
    <row r="104" spans="1:18" s="66" customFormat="1" ht="30.75">
      <c r="A104" s="67">
        <v>103</v>
      </c>
      <c r="B104" s="78" t="s">
        <v>206</v>
      </c>
      <c r="C104" s="79" t="s">
        <v>207</v>
      </c>
      <c r="D104" s="79" t="s">
        <v>90</v>
      </c>
      <c r="E104" s="68">
        <v>0</v>
      </c>
      <c r="F104" s="68">
        <v>0</v>
      </c>
      <c r="G104" s="68">
        <v>0</v>
      </c>
      <c r="H104" s="68">
        <v>28800</v>
      </c>
      <c r="I104" s="68">
        <v>17500</v>
      </c>
      <c r="J104" s="68">
        <v>12000</v>
      </c>
      <c r="K104" s="68">
        <v>0</v>
      </c>
      <c r="L104" s="68">
        <v>24700</v>
      </c>
      <c r="M104" s="68">
        <v>0</v>
      </c>
      <c r="N104" s="68">
        <v>0</v>
      </c>
      <c r="O104" s="68">
        <v>0</v>
      </c>
      <c r="P104" s="68">
        <v>0</v>
      </c>
      <c r="Q104" s="68">
        <f>SUM(E104:P104)</f>
        <v>83000</v>
      </c>
      <c r="R104" s="65"/>
    </row>
    <row r="105" spans="1:18" s="66" customFormat="1">
      <c r="A105" s="67">
        <v>104</v>
      </c>
      <c r="B105" s="78" t="s">
        <v>208</v>
      </c>
      <c r="C105" s="79" t="s">
        <v>209</v>
      </c>
      <c r="D105" s="79" t="s">
        <v>19</v>
      </c>
      <c r="E105" s="68">
        <v>0</v>
      </c>
      <c r="F105" s="68">
        <v>7200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f>SUM(E105:P105)</f>
        <v>7200</v>
      </c>
      <c r="R105" s="65"/>
    </row>
    <row r="106" spans="1:18" s="66" customFormat="1">
      <c r="A106" s="67">
        <v>105</v>
      </c>
      <c r="B106" s="78" t="s">
        <v>210</v>
      </c>
      <c r="C106" s="79" t="s">
        <v>211</v>
      </c>
      <c r="D106" s="79" t="s">
        <v>212</v>
      </c>
      <c r="E106" s="68">
        <v>0</v>
      </c>
      <c r="F106" s="68">
        <v>0</v>
      </c>
      <c r="G106" s="68">
        <v>0</v>
      </c>
      <c r="H106" s="68">
        <v>18500</v>
      </c>
      <c r="I106" s="68">
        <v>15200</v>
      </c>
      <c r="J106" s="68">
        <v>0</v>
      </c>
      <c r="K106" s="68">
        <v>0</v>
      </c>
      <c r="L106" s="68">
        <v>0</v>
      </c>
      <c r="M106" s="68">
        <v>18500</v>
      </c>
      <c r="N106" s="68">
        <v>0</v>
      </c>
      <c r="O106" s="68">
        <v>0</v>
      </c>
      <c r="P106" s="68">
        <v>0</v>
      </c>
      <c r="Q106" s="68">
        <f>SUM(E106:P106)</f>
        <v>52200</v>
      </c>
      <c r="R106" s="65"/>
    </row>
    <row r="107" spans="1:18" s="66" customFormat="1">
      <c r="A107" s="67">
        <v>106</v>
      </c>
      <c r="B107" s="78" t="s">
        <v>213</v>
      </c>
      <c r="C107" s="79" t="s">
        <v>214</v>
      </c>
      <c r="D107" s="79" t="s">
        <v>90</v>
      </c>
      <c r="E107" s="68">
        <v>0</v>
      </c>
      <c r="F107" s="68">
        <v>0</v>
      </c>
      <c r="G107" s="68">
        <v>64050</v>
      </c>
      <c r="H107" s="68">
        <v>72000</v>
      </c>
      <c r="I107" s="68">
        <v>252950</v>
      </c>
      <c r="J107" s="68">
        <v>0</v>
      </c>
      <c r="K107" s="68">
        <v>50800</v>
      </c>
      <c r="L107" s="68">
        <v>127600</v>
      </c>
      <c r="M107" s="68">
        <v>106500</v>
      </c>
      <c r="N107" s="68">
        <v>0</v>
      </c>
      <c r="O107" s="68">
        <v>0</v>
      </c>
      <c r="P107" s="68">
        <v>0</v>
      </c>
      <c r="Q107" s="68">
        <f>SUM(E107:P107)</f>
        <v>673900</v>
      </c>
      <c r="R107" s="65"/>
    </row>
    <row r="108" spans="1:18" s="66" customFormat="1">
      <c r="A108" s="67">
        <v>107</v>
      </c>
      <c r="B108" s="78" t="s">
        <v>215</v>
      </c>
      <c r="C108" s="79" t="s">
        <v>216</v>
      </c>
      <c r="D108" s="79" t="s">
        <v>19</v>
      </c>
      <c r="E108" s="68">
        <v>19214</v>
      </c>
      <c r="F108" s="68">
        <v>43600</v>
      </c>
      <c r="G108" s="68">
        <v>8275</v>
      </c>
      <c r="H108" s="68">
        <v>0</v>
      </c>
      <c r="I108" s="68">
        <v>39600</v>
      </c>
      <c r="J108" s="68">
        <v>3040</v>
      </c>
      <c r="K108" s="68">
        <v>0</v>
      </c>
      <c r="L108" s="68">
        <v>0</v>
      </c>
      <c r="M108" s="68">
        <v>0</v>
      </c>
      <c r="N108" s="68">
        <v>0</v>
      </c>
      <c r="O108" s="68">
        <v>3100</v>
      </c>
      <c r="P108" s="68">
        <v>0</v>
      </c>
      <c r="Q108" s="68">
        <f>SUM(E108:P108)</f>
        <v>116829</v>
      </c>
      <c r="R108" s="65"/>
    </row>
    <row r="109" spans="1:18" s="66" customFormat="1">
      <c r="A109" s="67">
        <v>108</v>
      </c>
      <c r="B109" s="78" t="s">
        <v>217</v>
      </c>
      <c r="C109" s="79" t="s">
        <v>218</v>
      </c>
      <c r="D109" s="79" t="s">
        <v>151</v>
      </c>
      <c r="E109" s="68">
        <v>0</v>
      </c>
      <c r="F109" s="68">
        <v>0</v>
      </c>
      <c r="G109" s="68">
        <v>0</v>
      </c>
      <c r="H109" s="68">
        <v>0</v>
      </c>
      <c r="I109" s="68">
        <v>0</v>
      </c>
      <c r="J109" s="68">
        <v>0</v>
      </c>
      <c r="K109" s="68">
        <v>0</v>
      </c>
      <c r="L109" s="68">
        <v>0</v>
      </c>
      <c r="M109" s="68">
        <v>19500</v>
      </c>
      <c r="N109" s="68">
        <v>0</v>
      </c>
      <c r="O109" s="68">
        <v>0</v>
      </c>
      <c r="P109" s="68">
        <v>0</v>
      </c>
      <c r="Q109" s="68">
        <f>SUM(E109:P109)</f>
        <v>19500</v>
      </c>
      <c r="R109" s="65"/>
    </row>
    <row r="110" spans="1:18" s="66" customFormat="1">
      <c r="A110" s="67">
        <v>109</v>
      </c>
      <c r="B110" s="78" t="s">
        <v>219</v>
      </c>
      <c r="C110" s="79" t="s">
        <v>220</v>
      </c>
      <c r="D110" s="79" t="s">
        <v>19</v>
      </c>
      <c r="E110" s="68">
        <v>0</v>
      </c>
      <c r="F110" s="68">
        <v>0</v>
      </c>
      <c r="G110" s="68">
        <v>0</v>
      </c>
      <c r="H110" s="68">
        <v>0</v>
      </c>
      <c r="I110" s="68">
        <v>0</v>
      </c>
      <c r="J110" s="68">
        <v>0</v>
      </c>
      <c r="K110" s="68">
        <v>157486.73000000001</v>
      </c>
      <c r="L110" s="68">
        <v>0</v>
      </c>
      <c r="M110" s="68">
        <v>0</v>
      </c>
      <c r="N110" s="68">
        <v>0</v>
      </c>
      <c r="O110" s="68">
        <v>0</v>
      </c>
      <c r="P110" s="68">
        <v>0</v>
      </c>
      <c r="Q110" s="68">
        <f>SUM(E110:P110)</f>
        <v>157486.73000000001</v>
      </c>
      <c r="R110" s="65"/>
    </row>
    <row r="111" spans="1:18" s="66" customFormat="1">
      <c r="A111" s="67">
        <v>110</v>
      </c>
      <c r="B111" s="78" t="s">
        <v>221</v>
      </c>
      <c r="C111" s="79" t="s">
        <v>23</v>
      </c>
      <c r="D111" s="79" t="s">
        <v>30</v>
      </c>
      <c r="E111" s="68"/>
      <c r="F111" s="68">
        <v>17960</v>
      </c>
      <c r="G111" s="68">
        <v>4020</v>
      </c>
      <c r="H111" s="68">
        <v>11930</v>
      </c>
      <c r="I111" s="68">
        <v>30600</v>
      </c>
      <c r="J111" s="68">
        <v>0</v>
      </c>
      <c r="K111" s="68">
        <v>17900</v>
      </c>
      <c r="L111" s="68">
        <v>6700</v>
      </c>
      <c r="M111" s="68">
        <v>12060</v>
      </c>
      <c r="N111" s="68">
        <v>4020</v>
      </c>
      <c r="O111" s="68">
        <v>13655</v>
      </c>
      <c r="P111" s="68">
        <v>13010</v>
      </c>
      <c r="Q111" s="68">
        <f>SUM(E111:P111)</f>
        <v>131855</v>
      </c>
      <c r="R111" s="65"/>
    </row>
    <row r="112" spans="1:18" s="66" customFormat="1">
      <c r="A112" s="67">
        <v>111</v>
      </c>
      <c r="B112" s="78" t="s">
        <v>222</v>
      </c>
      <c r="C112" s="79" t="s">
        <v>23</v>
      </c>
      <c r="D112" s="79" t="s">
        <v>30</v>
      </c>
      <c r="E112" s="68">
        <v>0</v>
      </c>
      <c r="F112" s="68">
        <v>0</v>
      </c>
      <c r="G112" s="68">
        <v>8000</v>
      </c>
      <c r="H112" s="68">
        <v>0</v>
      </c>
      <c r="I112" s="68">
        <v>0</v>
      </c>
      <c r="J112" s="68">
        <v>0</v>
      </c>
      <c r="K112" s="68">
        <v>0</v>
      </c>
      <c r="L112" s="68">
        <v>0</v>
      </c>
      <c r="M112" s="68">
        <v>0</v>
      </c>
      <c r="N112" s="68">
        <v>0</v>
      </c>
      <c r="O112" s="68">
        <v>0</v>
      </c>
      <c r="P112" s="68">
        <v>0</v>
      </c>
      <c r="Q112" s="68">
        <f>SUM(E112:P112)</f>
        <v>8000</v>
      </c>
      <c r="R112" s="65"/>
    </row>
    <row r="113" spans="1:18" s="66" customFormat="1">
      <c r="A113" s="67">
        <v>112</v>
      </c>
      <c r="B113" s="78" t="s">
        <v>223</v>
      </c>
      <c r="C113" s="79" t="s">
        <v>23</v>
      </c>
      <c r="D113" s="79" t="s">
        <v>30</v>
      </c>
      <c r="E113" s="68">
        <v>0</v>
      </c>
      <c r="F113" s="68">
        <v>0</v>
      </c>
      <c r="G113" s="68">
        <v>0</v>
      </c>
      <c r="H113" s="68">
        <v>0</v>
      </c>
      <c r="I113" s="68">
        <v>0</v>
      </c>
      <c r="J113" s="68">
        <v>0</v>
      </c>
      <c r="K113" s="68">
        <v>1961</v>
      </c>
      <c r="L113" s="68">
        <v>0</v>
      </c>
      <c r="M113" s="68">
        <v>0</v>
      </c>
      <c r="N113" s="68">
        <v>0</v>
      </c>
      <c r="O113" s="68">
        <v>0</v>
      </c>
      <c r="P113" s="68">
        <v>0</v>
      </c>
      <c r="Q113" s="68">
        <f>SUM(E113:P113)</f>
        <v>1961</v>
      </c>
      <c r="R113" s="65"/>
    </row>
    <row r="114" spans="1:18" s="66" customFormat="1">
      <c r="A114" s="67">
        <v>113</v>
      </c>
      <c r="B114" s="78" t="s">
        <v>224</v>
      </c>
      <c r="C114" s="79" t="s">
        <v>23</v>
      </c>
      <c r="D114" s="79" t="s">
        <v>30</v>
      </c>
      <c r="E114" s="68">
        <v>0</v>
      </c>
      <c r="F114" s="68">
        <v>0</v>
      </c>
      <c r="G114" s="68">
        <v>0</v>
      </c>
      <c r="H114" s="68">
        <v>0</v>
      </c>
      <c r="I114" s="68">
        <v>0</v>
      </c>
      <c r="J114" s="68">
        <v>9900</v>
      </c>
      <c r="K114" s="68">
        <v>0</v>
      </c>
      <c r="L114" s="68">
        <v>0</v>
      </c>
      <c r="M114" s="68">
        <v>0</v>
      </c>
      <c r="N114" s="68">
        <v>0</v>
      </c>
      <c r="O114" s="68">
        <v>0</v>
      </c>
      <c r="P114" s="68">
        <v>0</v>
      </c>
      <c r="Q114" s="68">
        <f>SUM(E114:P114)</f>
        <v>9900</v>
      </c>
      <c r="R114" s="65"/>
    </row>
    <row r="115" spans="1:18" s="66" customFormat="1">
      <c r="A115" s="67">
        <v>114</v>
      </c>
      <c r="B115" s="78" t="s">
        <v>225</v>
      </c>
      <c r="C115" s="79" t="s">
        <v>226</v>
      </c>
      <c r="D115" s="79" t="s">
        <v>90</v>
      </c>
      <c r="E115" s="68">
        <v>0</v>
      </c>
      <c r="F115" s="68">
        <v>5350</v>
      </c>
      <c r="G115" s="68">
        <v>0</v>
      </c>
      <c r="H115" s="68">
        <v>0</v>
      </c>
      <c r="I115" s="68">
        <v>0</v>
      </c>
      <c r="J115" s="68">
        <v>0</v>
      </c>
      <c r="K115" s="68">
        <v>0</v>
      </c>
      <c r="L115" s="68">
        <v>0</v>
      </c>
      <c r="M115" s="68">
        <v>0</v>
      </c>
      <c r="N115" s="68">
        <v>0</v>
      </c>
      <c r="O115" s="68">
        <v>0</v>
      </c>
      <c r="P115" s="68">
        <v>0</v>
      </c>
      <c r="Q115" s="68">
        <f>SUM(E115:P115)</f>
        <v>5350</v>
      </c>
      <c r="R115" s="65"/>
    </row>
    <row r="116" spans="1:18" s="66" customFormat="1">
      <c r="A116" s="67">
        <v>115</v>
      </c>
      <c r="B116" s="78" t="s">
        <v>227</v>
      </c>
      <c r="C116" s="79" t="s">
        <v>23</v>
      </c>
      <c r="D116" s="79" t="s">
        <v>30</v>
      </c>
      <c r="E116" s="68">
        <v>0</v>
      </c>
      <c r="F116" s="68">
        <v>0</v>
      </c>
      <c r="G116" s="68">
        <v>2300</v>
      </c>
      <c r="H116" s="68">
        <v>0</v>
      </c>
      <c r="I116" s="68">
        <v>0</v>
      </c>
      <c r="J116" s="68">
        <v>0</v>
      </c>
      <c r="K116" s="68">
        <v>0</v>
      </c>
      <c r="L116" s="68">
        <v>0</v>
      </c>
      <c r="M116" s="68">
        <v>0</v>
      </c>
      <c r="N116" s="68">
        <v>0</v>
      </c>
      <c r="O116" s="68">
        <v>0</v>
      </c>
      <c r="P116" s="68">
        <v>0</v>
      </c>
      <c r="Q116" s="68">
        <f>SUM(E116:P116)</f>
        <v>2300</v>
      </c>
      <c r="R116" s="65"/>
    </row>
    <row r="117" spans="1:18" s="66" customFormat="1">
      <c r="A117" s="67">
        <v>116</v>
      </c>
      <c r="B117" s="78" t="s">
        <v>228</v>
      </c>
      <c r="C117" s="79" t="s">
        <v>229</v>
      </c>
      <c r="D117" s="79" t="s">
        <v>177</v>
      </c>
      <c r="E117" s="68">
        <v>0</v>
      </c>
      <c r="F117" s="68">
        <v>18000</v>
      </c>
      <c r="G117" s="68">
        <v>0</v>
      </c>
      <c r="H117" s="68">
        <v>0</v>
      </c>
      <c r="I117" s="68">
        <v>0</v>
      </c>
      <c r="J117" s="68">
        <v>0</v>
      </c>
      <c r="K117" s="68">
        <v>0</v>
      </c>
      <c r="L117" s="68">
        <v>0</v>
      </c>
      <c r="M117" s="68">
        <v>0</v>
      </c>
      <c r="N117" s="68">
        <v>0</v>
      </c>
      <c r="O117" s="68">
        <v>0</v>
      </c>
      <c r="P117" s="68">
        <v>0</v>
      </c>
      <c r="Q117" s="68">
        <f>SUM(E117:P117)</f>
        <v>18000</v>
      </c>
      <c r="R117" s="65"/>
    </row>
    <row r="118" spans="1:18" s="66" customFormat="1">
      <c r="A118" s="67">
        <v>117</v>
      </c>
      <c r="B118" s="78" t="s">
        <v>230</v>
      </c>
      <c r="C118" s="79" t="s">
        <v>23</v>
      </c>
      <c r="D118" s="79" t="s">
        <v>30</v>
      </c>
      <c r="E118" s="68">
        <v>0</v>
      </c>
      <c r="F118" s="68">
        <v>0</v>
      </c>
      <c r="G118" s="68">
        <v>0</v>
      </c>
      <c r="H118" s="68">
        <v>1600</v>
      </c>
      <c r="I118" s="68">
        <v>0</v>
      </c>
      <c r="J118" s="68">
        <v>0</v>
      </c>
      <c r="K118" s="68">
        <v>0</v>
      </c>
      <c r="L118" s="68">
        <v>0</v>
      </c>
      <c r="M118" s="68">
        <v>0</v>
      </c>
      <c r="N118" s="68">
        <v>0</v>
      </c>
      <c r="O118" s="68">
        <v>0</v>
      </c>
      <c r="P118" s="68">
        <v>0</v>
      </c>
      <c r="Q118" s="68">
        <f>SUM(E118:P118)</f>
        <v>1600</v>
      </c>
      <c r="R118" s="65"/>
    </row>
    <row r="119" spans="1:18" s="66" customFormat="1">
      <c r="A119" s="67">
        <v>118</v>
      </c>
      <c r="B119" s="78" t="s">
        <v>231</v>
      </c>
      <c r="C119" s="79" t="s">
        <v>23</v>
      </c>
      <c r="D119" s="79" t="s">
        <v>30</v>
      </c>
      <c r="E119" s="68">
        <v>0</v>
      </c>
      <c r="F119" s="68">
        <v>0</v>
      </c>
      <c r="G119" s="68">
        <v>0</v>
      </c>
      <c r="H119" s="68">
        <v>5834</v>
      </c>
      <c r="I119" s="68">
        <v>0</v>
      </c>
      <c r="J119" s="68">
        <v>5850</v>
      </c>
      <c r="K119" s="68">
        <v>0</v>
      </c>
      <c r="L119" s="68">
        <v>0</v>
      </c>
      <c r="M119" s="68">
        <v>0</v>
      </c>
      <c r="N119" s="68">
        <v>0</v>
      </c>
      <c r="O119" s="68">
        <v>0</v>
      </c>
      <c r="P119" s="68">
        <v>0</v>
      </c>
      <c r="Q119" s="68">
        <f>SUM(E119:P119)</f>
        <v>11684</v>
      </c>
      <c r="R119" s="65"/>
    </row>
    <row r="120" spans="1:18" s="66" customFormat="1">
      <c r="A120" s="67">
        <v>119</v>
      </c>
      <c r="B120" s="78" t="s">
        <v>232</v>
      </c>
      <c r="C120" s="79" t="s">
        <v>233</v>
      </c>
      <c r="D120" s="79" t="s">
        <v>22</v>
      </c>
      <c r="E120" s="68">
        <v>19964</v>
      </c>
      <c r="F120" s="68">
        <v>0</v>
      </c>
      <c r="G120" s="68">
        <v>17240</v>
      </c>
      <c r="H120" s="68">
        <v>0</v>
      </c>
      <c r="I120" s="68">
        <v>36800</v>
      </c>
      <c r="J120" s="68">
        <v>905</v>
      </c>
      <c r="K120" s="68">
        <v>0</v>
      </c>
      <c r="L120" s="68">
        <v>0</v>
      </c>
      <c r="M120" s="68">
        <v>0</v>
      </c>
      <c r="N120" s="68">
        <v>6555</v>
      </c>
      <c r="O120" s="68">
        <v>0</v>
      </c>
      <c r="P120" s="68">
        <v>11150</v>
      </c>
      <c r="Q120" s="68">
        <f>SUM(E120:P120)</f>
        <v>92614</v>
      </c>
      <c r="R120" s="65"/>
    </row>
    <row r="121" spans="1:18" s="66" customFormat="1" ht="30.75">
      <c r="A121" s="67">
        <v>120</v>
      </c>
      <c r="B121" s="78" t="s">
        <v>234</v>
      </c>
      <c r="C121" s="79" t="s">
        <v>235</v>
      </c>
      <c r="D121" s="79" t="s">
        <v>236</v>
      </c>
      <c r="E121" s="68">
        <v>4704</v>
      </c>
      <c r="F121" s="68">
        <v>0</v>
      </c>
      <c r="G121" s="68">
        <v>0</v>
      </c>
      <c r="H121" s="68">
        <v>0</v>
      </c>
      <c r="I121" s="68">
        <v>0</v>
      </c>
      <c r="J121" s="68">
        <v>0</v>
      </c>
      <c r="K121" s="68">
        <v>0</v>
      </c>
      <c r="L121" s="68">
        <v>0</v>
      </c>
      <c r="M121" s="68">
        <v>0</v>
      </c>
      <c r="N121" s="68">
        <v>0</v>
      </c>
      <c r="O121" s="68">
        <v>0</v>
      </c>
      <c r="P121" s="68">
        <v>0</v>
      </c>
      <c r="Q121" s="68">
        <f>SUM(E121:P121)</f>
        <v>4704</v>
      </c>
      <c r="R121" s="65"/>
    </row>
    <row r="122" spans="1:18" s="66" customFormat="1">
      <c r="A122" s="67">
        <v>121</v>
      </c>
      <c r="B122" s="78" t="s">
        <v>237</v>
      </c>
      <c r="C122" s="79" t="s">
        <v>23</v>
      </c>
      <c r="D122" s="79" t="s">
        <v>30</v>
      </c>
      <c r="E122" s="68">
        <v>0</v>
      </c>
      <c r="F122" s="68">
        <v>0</v>
      </c>
      <c r="G122" s="68">
        <v>0</v>
      </c>
      <c r="H122" s="68">
        <v>0</v>
      </c>
      <c r="I122" s="68">
        <v>0</v>
      </c>
      <c r="J122" s="68">
        <v>0</v>
      </c>
      <c r="K122" s="68">
        <v>0</v>
      </c>
      <c r="L122" s="68">
        <v>0</v>
      </c>
      <c r="M122" s="68">
        <v>0</v>
      </c>
      <c r="N122" s="68">
        <v>6320</v>
      </c>
      <c r="O122" s="68">
        <v>0</v>
      </c>
      <c r="P122" s="68">
        <v>0</v>
      </c>
      <c r="Q122" s="68">
        <f>SUM(E122:P122)</f>
        <v>6320</v>
      </c>
      <c r="R122" s="65"/>
    </row>
    <row r="123" spans="1:18" s="66" customFormat="1">
      <c r="A123" s="67">
        <v>122</v>
      </c>
      <c r="B123" s="78" t="s">
        <v>238</v>
      </c>
      <c r="C123" s="79" t="s">
        <v>239</v>
      </c>
      <c r="D123" s="79" t="s">
        <v>90</v>
      </c>
      <c r="E123" s="68">
        <v>0</v>
      </c>
      <c r="F123" s="68">
        <v>0</v>
      </c>
      <c r="G123" s="68">
        <v>0</v>
      </c>
      <c r="H123" s="68">
        <v>0</v>
      </c>
      <c r="I123" s="68">
        <v>0</v>
      </c>
      <c r="J123" s="68">
        <v>1000</v>
      </c>
      <c r="K123" s="68">
        <v>0</v>
      </c>
      <c r="L123" s="68">
        <v>0</v>
      </c>
      <c r="M123" s="68">
        <v>0</v>
      </c>
      <c r="N123" s="68">
        <v>0</v>
      </c>
      <c r="O123" s="68">
        <v>0</v>
      </c>
      <c r="P123" s="68">
        <v>8295</v>
      </c>
      <c r="Q123" s="68">
        <f>SUM(E123:P123)</f>
        <v>9295</v>
      </c>
      <c r="R123" s="65"/>
    </row>
    <row r="124" spans="1:18" s="66" customFormat="1">
      <c r="A124" s="67">
        <v>123</v>
      </c>
      <c r="B124" s="78" t="s">
        <v>240</v>
      </c>
      <c r="C124" s="79" t="s">
        <v>23</v>
      </c>
      <c r="D124" s="79" t="s">
        <v>30</v>
      </c>
      <c r="E124" s="68">
        <v>0</v>
      </c>
      <c r="F124" s="68">
        <v>0</v>
      </c>
      <c r="G124" s="68">
        <v>0</v>
      </c>
      <c r="H124" s="68">
        <v>0</v>
      </c>
      <c r="I124" s="68">
        <v>0</v>
      </c>
      <c r="J124" s="68">
        <v>23660</v>
      </c>
      <c r="K124" s="68">
        <v>0</v>
      </c>
      <c r="L124" s="68">
        <v>0</v>
      </c>
      <c r="M124" s="68">
        <v>0</v>
      </c>
      <c r="N124" s="68">
        <v>0</v>
      </c>
      <c r="O124" s="68">
        <v>0</v>
      </c>
      <c r="P124" s="68">
        <v>0</v>
      </c>
      <c r="Q124" s="68">
        <f>SUM(E124:P124)</f>
        <v>23660</v>
      </c>
      <c r="R124" s="65"/>
    </row>
    <row r="125" spans="1:18" s="66" customFormat="1" ht="30.75">
      <c r="A125" s="67">
        <v>124</v>
      </c>
      <c r="B125" s="78" t="s">
        <v>241</v>
      </c>
      <c r="C125" s="79" t="s">
        <v>242</v>
      </c>
      <c r="D125" s="79" t="s">
        <v>19</v>
      </c>
      <c r="E125" s="68">
        <v>2067</v>
      </c>
      <c r="F125" s="68">
        <v>0</v>
      </c>
      <c r="G125" s="68">
        <v>0</v>
      </c>
      <c r="H125" s="68">
        <v>0</v>
      </c>
      <c r="I125" s="68">
        <v>0</v>
      </c>
      <c r="J125" s="68">
        <v>0</v>
      </c>
      <c r="K125" s="68">
        <v>0</v>
      </c>
      <c r="L125" s="68">
        <v>0</v>
      </c>
      <c r="M125" s="68">
        <v>0</v>
      </c>
      <c r="N125" s="68">
        <v>0</v>
      </c>
      <c r="O125" s="68">
        <v>0</v>
      </c>
      <c r="P125" s="68">
        <v>0</v>
      </c>
      <c r="Q125" s="68">
        <f>SUM(E125:P125)</f>
        <v>2067</v>
      </c>
      <c r="R125" s="65"/>
    </row>
    <row r="126" spans="1:18" s="66" customFormat="1">
      <c r="A126" s="67">
        <v>125</v>
      </c>
      <c r="B126" s="78" t="s">
        <v>243</v>
      </c>
      <c r="C126" s="79" t="s">
        <v>244</v>
      </c>
      <c r="D126" s="79" t="s">
        <v>90</v>
      </c>
      <c r="E126" s="68">
        <v>0</v>
      </c>
      <c r="F126" s="68">
        <v>0</v>
      </c>
      <c r="G126" s="68">
        <v>0</v>
      </c>
      <c r="H126" s="68">
        <v>0</v>
      </c>
      <c r="I126" s="68">
        <v>0</v>
      </c>
      <c r="J126" s="68">
        <v>6750</v>
      </c>
      <c r="K126" s="68">
        <v>0</v>
      </c>
      <c r="L126" s="68">
        <v>0</v>
      </c>
      <c r="M126" s="68">
        <v>0</v>
      </c>
      <c r="N126" s="68">
        <v>0</v>
      </c>
      <c r="O126" s="68">
        <v>0</v>
      </c>
      <c r="P126" s="68">
        <v>0</v>
      </c>
      <c r="Q126" s="68">
        <f>SUM(E126:P126)</f>
        <v>6750</v>
      </c>
      <c r="R126" s="65"/>
    </row>
    <row r="127" spans="1:18" s="66" customFormat="1">
      <c r="A127" s="67">
        <v>126</v>
      </c>
      <c r="B127" s="78" t="s">
        <v>245</v>
      </c>
      <c r="C127" s="79" t="s">
        <v>246</v>
      </c>
      <c r="D127" s="79" t="s">
        <v>19</v>
      </c>
      <c r="E127" s="68">
        <v>2650</v>
      </c>
      <c r="F127" s="68">
        <v>0</v>
      </c>
      <c r="G127" s="68">
        <v>0</v>
      </c>
      <c r="H127" s="68">
        <v>0</v>
      </c>
      <c r="I127" s="68">
        <v>0</v>
      </c>
      <c r="J127" s="68">
        <v>0</v>
      </c>
      <c r="K127" s="68">
        <v>0</v>
      </c>
      <c r="L127" s="68">
        <v>0</v>
      </c>
      <c r="M127" s="68">
        <v>0</v>
      </c>
      <c r="N127" s="68">
        <v>0</v>
      </c>
      <c r="O127" s="68">
        <v>0</v>
      </c>
      <c r="P127" s="68">
        <v>0</v>
      </c>
      <c r="Q127" s="68">
        <f>SUM(E127:P127)</f>
        <v>2650</v>
      </c>
      <c r="R127" s="65"/>
    </row>
    <row r="128" spans="1:18" s="66" customFormat="1">
      <c r="A128" s="67">
        <v>127</v>
      </c>
      <c r="B128" s="78" t="s">
        <v>247</v>
      </c>
      <c r="C128" s="79" t="s">
        <v>23</v>
      </c>
      <c r="D128" s="79" t="s">
        <v>30</v>
      </c>
      <c r="E128" s="68">
        <v>0</v>
      </c>
      <c r="F128" s="68">
        <v>0</v>
      </c>
      <c r="G128" s="68">
        <v>0</v>
      </c>
      <c r="H128" s="68">
        <v>0</v>
      </c>
      <c r="I128" s="68">
        <v>0</v>
      </c>
      <c r="J128" s="68">
        <v>0</v>
      </c>
      <c r="K128" s="68">
        <v>0</v>
      </c>
      <c r="L128" s="68">
        <v>0</v>
      </c>
      <c r="M128" s="68">
        <v>74250</v>
      </c>
      <c r="N128" s="68">
        <v>0</v>
      </c>
      <c r="O128" s="68">
        <v>0</v>
      </c>
      <c r="P128" s="68">
        <v>0</v>
      </c>
      <c r="Q128" s="68">
        <f>SUM(E128:P128)</f>
        <v>74250</v>
      </c>
      <c r="R128" s="65"/>
    </row>
    <row r="129" spans="1:18" s="66" customFormat="1" ht="30.75">
      <c r="A129" s="67">
        <v>128</v>
      </c>
      <c r="B129" s="78" t="s">
        <v>248</v>
      </c>
      <c r="C129" s="79" t="s">
        <v>249</v>
      </c>
      <c r="D129" s="79" t="s">
        <v>19</v>
      </c>
      <c r="E129" s="68">
        <v>0</v>
      </c>
      <c r="F129" s="68">
        <v>0</v>
      </c>
      <c r="G129" s="68">
        <v>0</v>
      </c>
      <c r="H129" s="68">
        <v>0</v>
      </c>
      <c r="I129" s="68">
        <v>0</v>
      </c>
      <c r="J129" s="68">
        <v>34050</v>
      </c>
      <c r="K129" s="68">
        <v>0</v>
      </c>
      <c r="L129" s="68">
        <v>0</v>
      </c>
      <c r="M129" s="68">
        <v>0</v>
      </c>
      <c r="N129" s="68">
        <v>0</v>
      </c>
      <c r="O129" s="68">
        <v>0</v>
      </c>
      <c r="P129" s="68">
        <v>0</v>
      </c>
      <c r="Q129" s="68">
        <f>SUM(E129:P129)</f>
        <v>34050</v>
      </c>
      <c r="R129" s="65"/>
    </row>
    <row r="130" spans="1:18" s="66" customFormat="1">
      <c r="A130" s="67">
        <v>129</v>
      </c>
      <c r="B130" s="78" t="s">
        <v>250</v>
      </c>
      <c r="C130" s="79" t="s">
        <v>251</v>
      </c>
      <c r="D130" s="79" t="s">
        <v>252</v>
      </c>
      <c r="E130" s="68">
        <v>0</v>
      </c>
      <c r="F130" s="68">
        <v>0</v>
      </c>
      <c r="G130" s="68">
        <v>0</v>
      </c>
      <c r="H130" s="68">
        <v>0</v>
      </c>
      <c r="I130" s="68">
        <v>0</v>
      </c>
      <c r="J130" s="68">
        <v>0</v>
      </c>
      <c r="K130" s="68">
        <v>0</v>
      </c>
      <c r="L130" s="68">
        <v>0</v>
      </c>
      <c r="M130" s="68">
        <v>22719.3</v>
      </c>
      <c r="N130" s="68">
        <v>0</v>
      </c>
      <c r="O130" s="68">
        <v>0</v>
      </c>
      <c r="P130" s="68">
        <v>0</v>
      </c>
      <c r="Q130" s="68">
        <f>SUM(E130:P130)</f>
        <v>22719.3</v>
      </c>
      <c r="R130" s="65"/>
    </row>
    <row r="131" spans="1:18" s="66" customFormat="1">
      <c r="A131" s="67">
        <v>130</v>
      </c>
      <c r="B131" s="78" t="s">
        <v>253</v>
      </c>
      <c r="C131" s="79" t="s">
        <v>254</v>
      </c>
      <c r="D131" s="79" t="s">
        <v>19</v>
      </c>
      <c r="E131" s="68">
        <v>12400</v>
      </c>
      <c r="F131" s="68">
        <v>7950</v>
      </c>
      <c r="G131" s="68">
        <v>0</v>
      </c>
      <c r="H131" s="68">
        <v>0</v>
      </c>
      <c r="I131" s="68">
        <v>24700</v>
      </c>
      <c r="J131" s="68">
        <v>905</v>
      </c>
      <c r="K131" s="68">
        <v>10280</v>
      </c>
      <c r="L131" s="68">
        <v>5401</v>
      </c>
      <c r="M131" s="68">
        <v>5850</v>
      </c>
      <c r="N131" s="68">
        <v>10220</v>
      </c>
      <c r="O131" s="68">
        <v>0</v>
      </c>
      <c r="P131" s="68">
        <v>0</v>
      </c>
      <c r="Q131" s="68">
        <f>SUM(E131:P131)</f>
        <v>77706</v>
      </c>
      <c r="R131" s="65"/>
    </row>
    <row r="132" spans="1:18" s="66" customFormat="1">
      <c r="A132" s="67">
        <v>131</v>
      </c>
      <c r="B132" s="78" t="s">
        <v>255</v>
      </c>
      <c r="C132" s="79" t="s">
        <v>256</v>
      </c>
      <c r="D132" s="79" t="s">
        <v>257</v>
      </c>
      <c r="E132" s="68">
        <v>0</v>
      </c>
      <c r="F132" s="68">
        <v>2500</v>
      </c>
      <c r="G132" s="68">
        <v>0</v>
      </c>
      <c r="H132" s="68">
        <v>11000</v>
      </c>
      <c r="I132" s="68">
        <v>0</v>
      </c>
      <c r="J132" s="68">
        <v>0</v>
      </c>
      <c r="K132" s="68">
        <v>0</v>
      </c>
      <c r="L132" s="68">
        <v>0</v>
      </c>
      <c r="M132" s="68">
        <v>0</v>
      </c>
      <c r="N132" s="68">
        <v>0</v>
      </c>
      <c r="O132" s="68">
        <v>0</v>
      </c>
      <c r="P132" s="68">
        <v>0</v>
      </c>
      <c r="Q132" s="68">
        <f>SUM(E132:P132)</f>
        <v>13500</v>
      </c>
      <c r="R132" s="65"/>
    </row>
    <row r="133" spans="1:18" s="66" customFormat="1">
      <c r="A133" s="67">
        <v>132</v>
      </c>
      <c r="B133" s="78" t="s">
        <v>258</v>
      </c>
      <c r="C133" s="79" t="s">
        <v>259</v>
      </c>
      <c r="D133" s="79" t="s">
        <v>19</v>
      </c>
      <c r="E133" s="68">
        <v>0</v>
      </c>
      <c r="F133" s="68">
        <v>0</v>
      </c>
      <c r="G133" s="68">
        <v>0</v>
      </c>
      <c r="H133" s="68">
        <v>0</v>
      </c>
      <c r="I133" s="68">
        <v>0</v>
      </c>
      <c r="J133" s="68">
        <v>0</v>
      </c>
      <c r="K133" s="68">
        <v>0</v>
      </c>
      <c r="L133" s="68">
        <v>50665</v>
      </c>
      <c r="M133" s="68">
        <v>0</v>
      </c>
      <c r="N133" s="68">
        <v>0</v>
      </c>
      <c r="O133" s="68">
        <v>0</v>
      </c>
      <c r="P133" s="68">
        <v>0</v>
      </c>
      <c r="Q133" s="68">
        <f>SUM(E133:P133)</f>
        <v>50665</v>
      </c>
      <c r="R133" s="65"/>
    </row>
    <row r="134" spans="1:18" s="66" customFormat="1">
      <c r="A134" s="67">
        <v>133</v>
      </c>
      <c r="B134" s="78" t="s">
        <v>260</v>
      </c>
      <c r="C134" s="79" t="s">
        <v>261</v>
      </c>
      <c r="D134" s="79" t="s">
        <v>122</v>
      </c>
      <c r="E134" s="68">
        <v>0</v>
      </c>
      <c r="F134" s="68">
        <v>0</v>
      </c>
      <c r="G134" s="68">
        <v>0</v>
      </c>
      <c r="H134" s="68">
        <v>2600</v>
      </c>
      <c r="I134" s="68">
        <v>0</v>
      </c>
      <c r="J134" s="68">
        <v>0</v>
      </c>
      <c r="K134" s="68">
        <v>0</v>
      </c>
      <c r="L134" s="68">
        <v>0</v>
      </c>
      <c r="M134" s="68">
        <v>2600</v>
      </c>
      <c r="N134" s="68">
        <v>0</v>
      </c>
      <c r="O134" s="68">
        <v>0</v>
      </c>
      <c r="P134" s="68">
        <v>0</v>
      </c>
      <c r="Q134" s="68">
        <f>SUM(E134:P134)</f>
        <v>5200</v>
      </c>
      <c r="R134" s="65"/>
    </row>
    <row r="135" spans="1:18" s="66" customFormat="1">
      <c r="A135" s="67">
        <v>134</v>
      </c>
      <c r="B135" s="78" t="s">
        <v>262</v>
      </c>
      <c r="C135" s="79" t="s">
        <v>263</v>
      </c>
      <c r="D135" s="79" t="s">
        <v>19</v>
      </c>
      <c r="E135" s="68">
        <v>0</v>
      </c>
      <c r="F135" s="68">
        <v>0</v>
      </c>
      <c r="G135" s="68">
        <v>0</v>
      </c>
      <c r="H135" s="68">
        <v>5400</v>
      </c>
      <c r="I135" s="68">
        <v>0</v>
      </c>
      <c r="J135" s="68">
        <v>0</v>
      </c>
      <c r="K135" s="68">
        <v>0</v>
      </c>
      <c r="L135" s="68">
        <v>0</v>
      </c>
      <c r="M135" s="68">
        <v>0</v>
      </c>
      <c r="N135" s="68">
        <v>0</v>
      </c>
      <c r="O135" s="68">
        <v>0</v>
      </c>
      <c r="P135" s="68">
        <v>0</v>
      </c>
      <c r="Q135" s="68">
        <f>SUM(E135:P135)</f>
        <v>5400</v>
      </c>
      <c r="R135" s="65"/>
    </row>
    <row r="136" spans="1:18" s="66" customFormat="1">
      <c r="A136" s="67">
        <v>135</v>
      </c>
      <c r="B136" s="78" t="s">
        <v>264</v>
      </c>
      <c r="C136" s="79" t="s">
        <v>265</v>
      </c>
      <c r="D136" s="79" t="s">
        <v>177</v>
      </c>
      <c r="E136" s="68">
        <v>0</v>
      </c>
      <c r="F136" s="68">
        <v>0</v>
      </c>
      <c r="G136" s="68">
        <v>0</v>
      </c>
      <c r="H136" s="68">
        <v>0</v>
      </c>
      <c r="I136" s="68">
        <v>0</v>
      </c>
      <c r="J136" s="68">
        <v>0</v>
      </c>
      <c r="K136" s="68">
        <v>0</v>
      </c>
      <c r="L136" s="68">
        <v>0</v>
      </c>
      <c r="M136" s="68">
        <v>0</v>
      </c>
      <c r="N136" s="68">
        <v>0</v>
      </c>
      <c r="O136" s="68">
        <v>1185</v>
      </c>
      <c r="P136" s="68">
        <v>0</v>
      </c>
      <c r="Q136" s="68">
        <f>SUM(E136:P136)</f>
        <v>1185</v>
      </c>
      <c r="R136" s="65"/>
    </row>
    <row r="137" spans="1:18" s="66" customFormat="1">
      <c r="A137" s="67">
        <v>136</v>
      </c>
      <c r="B137" s="78" t="s">
        <v>266</v>
      </c>
      <c r="C137" s="79" t="s">
        <v>267</v>
      </c>
      <c r="D137" s="79" t="s">
        <v>177</v>
      </c>
      <c r="E137" s="68">
        <v>0</v>
      </c>
      <c r="F137" s="68">
        <v>11300</v>
      </c>
      <c r="G137" s="68">
        <v>0</v>
      </c>
      <c r="H137" s="68">
        <v>0</v>
      </c>
      <c r="I137" s="68">
        <v>0</v>
      </c>
      <c r="J137" s="68">
        <v>0</v>
      </c>
      <c r="K137" s="68">
        <v>11100</v>
      </c>
      <c r="L137" s="68">
        <v>23610</v>
      </c>
      <c r="M137" s="68">
        <v>0</v>
      </c>
      <c r="N137" s="68">
        <v>0</v>
      </c>
      <c r="O137" s="68">
        <v>0</v>
      </c>
      <c r="P137" s="68">
        <v>3800</v>
      </c>
      <c r="Q137" s="68">
        <f>SUM(E137:P137)</f>
        <v>49810</v>
      </c>
      <c r="R137" s="65"/>
    </row>
    <row r="138" spans="1:18" s="66" customFormat="1">
      <c r="A138" s="67">
        <v>137</v>
      </c>
      <c r="B138" s="78" t="s">
        <v>268</v>
      </c>
      <c r="C138" s="79" t="s">
        <v>23</v>
      </c>
      <c r="D138" s="79" t="s">
        <v>30</v>
      </c>
      <c r="E138" s="68">
        <v>0</v>
      </c>
      <c r="F138" s="68">
        <v>0</v>
      </c>
      <c r="G138" s="68">
        <v>0</v>
      </c>
      <c r="H138" s="68">
        <v>31751</v>
      </c>
      <c r="I138" s="68">
        <v>0</v>
      </c>
      <c r="J138" s="68">
        <v>2042.34</v>
      </c>
      <c r="K138" s="68">
        <v>551</v>
      </c>
      <c r="L138" s="68">
        <v>0</v>
      </c>
      <c r="M138" s="68">
        <v>0</v>
      </c>
      <c r="N138" s="68">
        <v>0</v>
      </c>
      <c r="O138" s="68">
        <v>0</v>
      </c>
      <c r="P138" s="68">
        <v>1639.86</v>
      </c>
      <c r="Q138" s="68">
        <f>SUM(E138:P138)</f>
        <v>35984.199999999997</v>
      </c>
      <c r="R138" s="65"/>
    </row>
    <row r="139" spans="1:18" s="66" customFormat="1">
      <c r="A139" s="67">
        <v>138</v>
      </c>
      <c r="B139" s="78" t="s">
        <v>269</v>
      </c>
      <c r="C139" s="79" t="s">
        <v>270</v>
      </c>
      <c r="D139" s="79" t="s">
        <v>19</v>
      </c>
      <c r="E139" s="68">
        <v>0</v>
      </c>
      <c r="F139" s="68">
        <v>0</v>
      </c>
      <c r="G139" s="68">
        <v>0</v>
      </c>
      <c r="H139" s="68">
        <v>0</v>
      </c>
      <c r="I139" s="68">
        <v>0</v>
      </c>
      <c r="J139" s="68">
        <v>0</v>
      </c>
      <c r="K139" s="68">
        <v>0</v>
      </c>
      <c r="L139" s="68">
        <v>0</v>
      </c>
      <c r="M139" s="68">
        <v>0</v>
      </c>
      <c r="N139" s="68">
        <v>0</v>
      </c>
      <c r="O139" s="68">
        <v>7900</v>
      </c>
      <c r="P139" s="68">
        <v>5600</v>
      </c>
      <c r="Q139" s="68">
        <f>SUM(E139:P139)</f>
        <v>13500</v>
      </c>
      <c r="R139" s="65"/>
    </row>
    <row r="140" spans="1:18" s="66" customFormat="1">
      <c r="A140" s="67">
        <v>139</v>
      </c>
      <c r="B140" s="78" t="s">
        <v>271</v>
      </c>
      <c r="C140" s="79" t="s">
        <v>272</v>
      </c>
      <c r="D140" s="79" t="s">
        <v>90</v>
      </c>
      <c r="E140" s="68">
        <v>0</v>
      </c>
      <c r="F140" s="68">
        <v>0</v>
      </c>
      <c r="G140" s="68">
        <v>0</v>
      </c>
      <c r="H140" s="68">
        <v>0</v>
      </c>
      <c r="I140" s="68">
        <v>0</v>
      </c>
      <c r="J140" s="68">
        <v>0</v>
      </c>
      <c r="K140" s="68">
        <v>0</v>
      </c>
      <c r="L140" s="68">
        <v>0</v>
      </c>
      <c r="M140" s="68">
        <v>0</v>
      </c>
      <c r="N140" s="68">
        <v>265420</v>
      </c>
      <c r="O140" s="68">
        <v>168400</v>
      </c>
      <c r="P140" s="68">
        <v>0</v>
      </c>
      <c r="Q140" s="68">
        <f>SUM(E140:P140)</f>
        <v>433820</v>
      </c>
      <c r="R140" s="65"/>
    </row>
    <row r="141" spans="1:18" s="66" customFormat="1">
      <c r="A141" s="67">
        <v>140</v>
      </c>
      <c r="B141" s="78" t="s">
        <v>273</v>
      </c>
      <c r="C141" s="79" t="s">
        <v>274</v>
      </c>
      <c r="D141" s="79" t="s">
        <v>90</v>
      </c>
      <c r="E141" s="68">
        <v>476895</v>
      </c>
      <c r="F141" s="68">
        <v>247140</v>
      </c>
      <c r="G141" s="68">
        <v>150700</v>
      </c>
      <c r="H141" s="68">
        <v>306930</v>
      </c>
      <c r="I141" s="68">
        <v>160000</v>
      </c>
      <c r="J141" s="68">
        <v>143150</v>
      </c>
      <c r="K141" s="68">
        <v>205870</v>
      </c>
      <c r="L141" s="68">
        <v>173500</v>
      </c>
      <c r="M141" s="68">
        <v>288600</v>
      </c>
      <c r="N141" s="68">
        <v>0</v>
      </c>
      <c r="O141" s="68">
        <v>170050</v>
      </c>
      <c r="P141" s="68">
        <v>132900</v>
      </c>
      <c r="Q141" s="68">
        <f>SUM(E141:P141)</f>
        <v>2455735</v>
      </c>
      <c r="R141" s="65"/>
    </row>
    <row r="142" spans="1:18" s="66" customFormat="1">
      <c r="A142" s="67">
        <v>141</v>
      </c>
      <c r="B142" s="78" t="s">
        <v>275</v>
      </c>
      <c r="C142" s="79" t="s">
        <v>276</v>
      </c>
      <c r="D142" s="79" t="s">
        <v>277</v>
      </c>
      <c r="E142" s="68">
        <v>4391</v>
      </c>
      <c r="F142" s="68">
        <v>1960</v>
      </c>
      <c r="G142" s="68">
        <v>0</v>
      </c>
      <c r="H142" s="68">
        <v>0</v>
      </c>
      <c r="I142" s="68">
        <v>0</v>
      </c>
      <c r="J142" s="68">
        <v>0</v>
      </c>
      <c r="K142" s="68">
        <v>0</v>
      </c>
      <c r="L142" s="68">
        <v>0</v>
      </c>
      <c r="M142" s="68">
        <v>0</v>
      </c>
      <c r="N142" s="68">
        <v>0</v>
      </c>
      <c r="O142" s="68">
        <v>0</v>
      </c>
      <c r="P142" s="68">
        <v>0</v>
      </c>
      <c r="Q142" s="68">
        <f>SUM(E142:P142)</f>
        <v>6351</v>
      </c>
      <c r="R142" s="65"/>
    </row>
    <row r="143" spans="1:18" s="66" customFormat="1">
      <c r="A143" s="67">
        <v>142</v>
      </c>
      <c r="B143" s="78" t="s">
        <v>278</v>
      </c>
      <c r="C143" s="79" t="s">
        <v>279</v>
      </c>
      <c r="D143" s="79" t="s">
        <v>151</v>
      </c>
      <c r="E143" s="68">
        <v>0</v>
      </c>
      <c r="F143" s="68">
        <v>0</v>
      </c>
      <c r="G143" s="68">
        <v>0</v>
      </c>
      <c r="H143" s="68">
        <v>0</v>
      </c>
      <c r="I143" s="68">
        <v>13176</v>
      </c>
      <c r="J143" s="68">
        <v>0</v>
      </c>
      <c r="K143" s="68">
        <v>0</v>
      </c>
      <c r="L143" s="68">
        <v>0</v>
      </c>
      <c r="M143" s="68">
        <v>0</v>
      </c>
      <c r="N143" s="68">
        <v>0</v>
      </c>
      <c r="O143" s="68">
        <v>0</v>
      </c>
      <c r="P143" s="68">
        <v>0</v>
      </c>
      <c r="Q143" s="68">
        <f>SUM(E143:P143)</f>
        <v>13176</v>
      </c>
      <c r="R143" s="65"/>
    </row>
    <row r="144" spans="1:18" s="66" customFormat="1">
      <c r="A144" s="67">
        <v>143</v>
      </c>
      <c r="B144" s="78" t="s">
        <v>280</v>
      </c>
      <c r="C144" s="79" t="s">
        <v>281</v>
      </c>
      <c r="D144" s="79" t="s">
        <v>252</v>
      </c>
      <c r="E144" s="68">
        <v>27375</v>
      </c>
      <c r="F144" s="68">
        <v>0</v>
      </c>
      <c r="G144" s="68">
        <v>0</v>
      </c>
      <c r="H144" s="68">
        <v>0</v>
      </c>
      <c r="I144" s="68">
        <v>50000</v>
      </c>
      <c r="J144" s="68">
        <v>0</v>
      </c>
      <c r="K144" s="68">
        <v>0</v>
      </c>
      <c r="L144" s="68">
        <v>18000</v>
      </c>
      <c r="M144" s="68">
        <v>0</v>
      </c>
      <c r="N144" s="68">
        <v>6000</v>
      </c>
      <c r="O144" s="68">
        <v>0</v>
      </c>
      <c r="P144" s="68">
        <v>48250</v>
      </c>
      <c r="Q144" s="68">
        <f>SUM(E144:P144)</f>
        <v>149625</v>
      </c>
      <c r="R144" s="65"/>
    </row>
    <row r="145" spans="1:18" s="66" customFormat="1">
      <c r="A145" s="67">
        <v>144</v>
      </c>
      <c r="B145" s="78" t="s">
        <v>282</v>
      </c>
      <c r="C145" s="79" t="s">
        <v>283</v>
      </c>
      <c r="D145" s="79" t="s">
        <v>19</v>
      </c>
      <c r="E145" s="68">
        <v>0</v>
      </c>
      <c r="F145" s="68">
        <v>0</v>
      </c>
      <c r="G145" s="68">
        <v>0</v>
      </c>
      <c r="H145" s="68">
        <v>0</v>
      </c>
      <c r="I145" s="68">
        <v>0</v>
      </c>
      <c r="J145" s="68">
        <v>0</v>
      </c>
      <c r="K145" s="68">
        <v>0</v>
      </c>
      <c r="L145" s="68">
        <v>0</v>
      </c>
      <c r="M145" s="68">
        <v>0</v>
      </c>
      <c r="N145" s="68">
        <v>0</v>
      </c>
      <c r="O145" s="68">
        <v>18670</v>
      </c>
      <c r="P145" s="68">
        <v>0</v>
      </c>
      <c r="Q145" s="68">
        <f>SUM(E145:P145)</f>
        <v>18670</v>
      </c>
      <c r="R145" s="65"/>
    </row>
    <row r="146" spans="1:18" s="66" customFormat="1">
      <c r="A146" s="67">
        <v>145</v>
      </c>
      <c r="B146" s="78" t="s">
        <v>284</v>
      </c>
      <c r="C146" s="79" t="s">
        <v>23</v>
      </c>
      <c r="D146" s="79" t="s">
        <v>30</v>
      </c>
      <c r="E146" s="68">
        <v>0</v>
      </c>
      <c r="F146" s="68">
        <v>0</v>
      </c>
      <c r="G146" s="68">
        <v>0</v>
      </c>
      <c r="H146" s="68">
        <v>0</v>
      </c>
      <c r="I146" s="68">
        <v>0</v>
      </c>
      <c r="J146" s="68">
        <v>0</v>
      </c>
      <c r="K146" s="68">
        <v>0</v>
      </c>
      <c r="L146" s="68">
        <v>0</v>
      </c>
      <c r="M146" s="68">
        <v>880</v>
      </c>
      <c r="N146" s="68">
        <v>2200</v>
      </c>
      <c r="O146" s="68">
        <v>0</v>
      </c>
      <c r="P146" s="68">
        <v>0</v>
      </c>
      <c r="Q146" s="68">
        <f>SUM(E146:P146)</f>
        <v>3080</v>
      </c>
      <c r="R146" s="65"/>
    </row>
    <row r="147" spans="1:18" s="66" customFormat="1">
      <c r="A147" s="67">
        <v>146</v>
      </c>
      <c r="B147" s="78" t="s">
        <v>285</v>
      </c>
      <c r="C147" s="79" t="s">
        <v>286</v>
      </c>
      <c r="D147" s="79" t="s">
        <v>287</v>
      </c>
      <c r="E147" s="68">
        <v>0</v>
      </c>
      <c r="F147" s="68">
        <v>0</v>
      </c>
      <c r="G147" s="68">
        <v>0</v>
      </c>
      <c r="H147" s="68">
        <v>0</v>
      </c>
      <c r="I147" s="68">
        <v>0</v>
      </c>
      <c r="J147" s="68">
        <v>0</v>
      </c>
      <c r="K147" s="68">
        <v>0</v>
      </c>
      <c r="L147" s="68">
        <v>0</v>
      </c>
      <c r="M147" s="68">
        <v>0</v>
      </c>
      <c r="N147" s="68">
        <v>0</v>
      </c>
      <c r="O147" s="68">
        <v>27600</v>
      </c>
      <c r="P147" s="68">
        <v>0</v>
      </c>
      <c r="Q147" s="68">
        <f>SUM(E147:P147)</f>
        <v>27600</v>
      </c>
      <c r="R147" s="65"/>
    </row>
    <row r="148" spans="1:18" s="66" customFormat="1">
      <c r="A148" s="67">
        <v>147</v>
      </c>
      <c r="B148" s="78" t="s">
        <v>288</v>
      </c>
      <c r="C148" s="79" t="s">
        <v>289</v>
      </c>
      <c r="D148" s="79" t="s">
        <v>290</v>
      </c>
      <c r="E148" s="68">
        <v>20318</v>
      </c>
      <c r="F148" s="68">
        <v>16400</v>
      </c>
      <c r="G148" s="68">
        <v>20600</v>
      </c>
      <c r="H148" s="68">
        <v>0</v>
      </c>
      <c r="I148" s="68">
        <v>0</v>
      </c>
      <c r="J148" s="68">
        <v>37715</v>
      </c>
      <c r="K148" s="68">
        <v>5740</v>
      </c>
      <c r="L148" s="68">
        <v>0</v>
      </c>
      <c r="M148" s="68">
        <v>16885</v>
      </c>
      <c r="N148" s="68">
        <v>20730</v>
      </c>
      <c r="O148" s="68">
        <v>2710</v>
      </c>
      <c r="P148" s="68">
        <v>18000</v>
      </c>
      <c r="Q148" s="68">
        <f>SUM(E148:P148)</f>
        <v>159098</v>
      </c>
      <c r="R148" s="65"/>
    </row>
    <row r="149" spans="1:18" s="66" customFormat="1">
      <c r="A149" s="67">
        <v>148</v>
      </c>
      <c r="B149" s="78" t="s">
        <v>291</v>
      </c>
      <c r="C149" s="79" t="s">
        <v>292</v>
      </c>
      <c r="D149" s="79" t="s">
        <v>290</v>
      </c>
      <c r="E149" s="68">
        <v>0</v>
      </c>
      <c r="F149" s="68">
        <v>0</v>
      </c>
      <c r="G149" s="68">
        <v>0</v>
      </c>
      <c r="H149" s="68">
        <v>0</v>
      </c>
      <c r="I149" s="68">
        <v>0</v>
      </c>
      <c r="J149" s="68">
        <v>0</v>
      </c>
      <c r="K149" s="68">
        <v>74052</v>
      </c>
      <c r="L149" s="68">
        <v>148591</v>
      </c>
      <c r="M149" s="68">
        <v>36500</v>
      </c>
      <c r="N149" s="68">
        <v>0</v>
      </c>
      <c r="O149" s="68">
        <v>0</v>
      </c>
      <c r="P149" s="68">
        <v>0</v>
      </c>
      <c r="Q149" s="68">
        <f>SUM(E149:P149)</f>
        <v>259143</v>
      </c>
      <c r="R149" s="65"/>
    </row>
    <row r="150" spans="1:18" s="66" customFormat="1">
      <c r="A150" s="67">
        <v>149</v>
      </c>
      <c r="B150" s="78" t="s">
        <v>293</v>
      </c>
      <c r="C150" s="79" t="s">
        <v>23</v>
      </c>
      <c r="D150" s="79" t="s">
        <v>30</v>
      </c>
      <c r="E150" s="68">
        <v>0</v>
      </c>
      <c r="F150" s="68">
        <v>0</v>
      </c>
      <c r="G150" s="68">
        <v>0</v>
      </c>
      <c r="H150" s="68">
        <v>0</v>
      </c>
      <c r="I150" s="68">
        <v>0</v>
      </c>
      <c r="J150" s="68">
        <v>0</v>
      </c>
      <c r="K150" s="68">
        <v>0</v>
      </c>
      <c r="L150" s="68">
        <v>7200</v>
      </c>
      <c r="M150" s="68">
        <v>0</v>
      </c>
      <c r="N150" s="68">
        <v>0</v>
      </c>
      <c r="O150" s="68">
        <v>0</v>
      </c>
      <c r="P150" s="68">
        <v>0</v>
      </c>
      <c r="Q150" s="68">
        <f>SUM(E150:P150)</f>
        <v>7200</v>
      </c>
      <c r="R150" s="65"/>
    </row>
    <row r="151" spans="1:18" s="66" customFormat="1">
      <c r="A151" s="67">
        <v>150</v>
      </c>
      <c r="B151" s="78" t="s">
        <v>294</v>
      </c>
      <c r="C151" s="79" t="s">
        <v>295</v>
      </c>
      <c r="D151" s="79" t="s">
        <v>19</v>
      </c>
      <c r="E151" s="68">
        <v>0</v>
      </c>
      <c r="F151" s="68">
        <v>6250</v>
      </c>
      <c r="G151" s="68">
        <v>2860</v>
      </c>
      <c r="H151" s="68">
        <v>0</v>
      </c>
      <c r="I151" s="68">
        <v>0</v>
      </c>
      <c r="J151" s="68">
        <v>0</v>
      </c>
      <c r="K151" s="68">
        <v>26400</v>
      </c>
      <c r="L151" s="68">
        <v>0</v>
      </c>
      <c r="M151" s="68">
        <v>0</v>
      </c>
      <c r="N151" s="68">
        <v>0</v>
      </c>
      <c r="O151" s="68">
        <v>0</v>
      </c>
      <c r="P151" s="68">
        <v>0</v>
      </c>
      <c r="Q151" s="68">
        <f>SUM(E151:P151)</f>
        <v>35510</v>
      </c>
      <c r="R151" s="65"/>
    </row>
    <row r="152" spans="1:18" s="66" customFormat="1">
      <c r="A152" s="67">
        <v>151</v>
      </c>
      <c r="B152" s="78" t="s">
        <v>296</v>
      </c>
      <c r="C152" s="79" t="s">
        <v>297</v>
      </c>
      <c r="D152" s="79" t="s">
        <v>90</v>
      </c>
      <c r="E152" s="68">
        <v>0</v>
      </c>
      <c r="F152" s="68">
        <v>0</v>
      </c>
      <c r="G152" s="68">
        <v>0</v>
      </c>
      <c r="H152" s="68">
        <v>10900</v>
      </c>
      <c r="I152" s="68">
        <v>0</v>
      </c>
      <c r="J152" s="68">
        <v>0</v>
      </c>
      <c r="K152" s="68">
        <v>0</v>
      </c>
      <c r="L152" s="68">
        <v>0</v>
      </c>
      <c r="M152" s="68">
        <v>0</v>
      </c>
      <c r="N152" s="68">
        <v>0</v>
      </c>
      <c r="O152" s="68">
        <v>0</v>
      </c>
      <c r="P152" s="68">
        <v>0</v>
      </c>
      <c r="Q152" s="68">
        <f>SUM(E152:P152)</f>
        <v>10900</v>
      </c>
      <c r="R152" s="65"/>
    </row>
    <row r="153" spans="1:18" s="66" customFormat="1">
      <c r="A153" s="67">
        <v>152</v>
      </c>
      <c r="B153" s="78" t="s">
        <v>298</v>
      </c>
      <c r="C153" s="79" t="s">
        <v>299</v>
      </c>
      <c r="D153" s="79" t="s">
        <v>19</v>
      </c>
      <c r="E153" s="68">
        <v>0</v>
      </c>
      <c r="F153" s="68">
        <v>3850</v>
      </c>
      <c r="G153" s="68">
        <v>0</v>
      </c>
      <c r="H153" s="68">
        <v>0</v>
      </c>
      <c r="I153" s="68">
        <v>3960</v>
      </c>
      <c r="J153" s="68">
        <v>0</v>
      </c>
      <c r="K153" s="68">
        <v>0</v>
      </c>
      <c r="L153" s="68">
        <v>0</v>
      </c>
      <c r="M153" s="68">
        <v>0</v>
      </c>
      <c r="N153" s="68">
        <v>0</v>
      </c>
      <c r="O153" s="68">
        <v>0</v>
      </c>
      <c r="P153" s="68">
        <v>0</v>
      </c>
      <c r="Q153" s="68">
        <f>SUM(E153:P153)</f>
        <v>7810</v>
      </c>
      <c r="R153" s="65"/>
    </row>
    <row r="154" spans="1:18" s="66" customFormat="1">
      <c r="A154" s="67">
        <v>153</v>
      </c>
      <c r="B154" s="78" t="s">
        <v>300</v>
      </c>
      <c r="C154" s="79" t="s">
        <v>301</v>
      </c>
      <c r="D154" s="79" t="s">
        <v>252</v>
      </c>
      <c r="E154" s="68">
        <v>0</v>
      </c>
      <c r="F154" s="68">
        <v>0</v>
      </c>
      <c r="G154" s="68">
        <v>0</v>
      </c>
      <c r="H154" s="68">
        <v>0</v>
      </c>
      <c r="I154" s="68">
        <v>0</v>
      </c>
      <c r="J154" s="68">
        <v>0</v>
      </c>
      <c r="K154" s="68">
        <v>0</v>
      </c>
      <c r="L154" s="68">
        <v>0</v>
      </c>
      <c r="M154" s="68">
        <v>0</v>
      </c>
      <c r="N154" s="68">
        <v>66140</v>
      </c>
      <c r="O154" s="68">
        <v>0</v>
      </c>
      <c r="P154" s="68">
        <v>0</v>
      </c>
      <c r="Q154" s="68">
        <f>SUM(E154:P154)</f>
        <v>66140</v>
      </c>
      <c r="R154" s="65"/>
    </row>
    <row r="155" spans="1:18" s="66" customFormat="1">
      <c r="A155" s="67">
        <v>154</v>
      </c>
      <c r="B155" s="78" t="s">
        <v>302</v>
      </c>
      <c r="C155" s="79" t="s">
        <v>23</v>
      </c>
      <c r="D155" s="79" t="s">
        <v>30</v>
      </c>
      <c r="E155" s="68">
        <v>0</v>
      </c>
      <c r="F155" s="68">
        <v>0</v>
      </c>
      <c r="G155" s="68">
        <v>5000</v>
      </c>
      <c r="H155" s="68">
        <v>0</v>
      </c>
      <c r="I155" s="68">
        <v>0</v>
      </c>
      <c r="J155" s="68">
        <v>0</v>
      </c>
      <c r="K155" s="68">
        <v>0</v>
      </c>
      <c r="L155" s="68">
        <v>0</v>
      </c>
      <c r="M155" s="68">
        <v>0</v>
      </c>
      <c r="N155" s="68">
        <v>0</v>
      </c>
      <c r="O155" s="68">
        <v>0</v>
      </c>
      <c r="P155" s="68">
        <v>0</v>
      </c>
      <c r="Q155" s="68">
        <f>SUM(E155:P155)</f>
        <v>5000</v>
      </c>
      <c r="R155" s="65"/>
    </row>
    <row r="156" spans="1:18" s="66" customFormat="1">
      <c r="A156" s="67">
        <v>155</v>
      </c>
      <c r="B156" s="78" t="s">
        <v>303</v>
      </c>
      <c r="C156" s="79" t="s">
        <v>304</v>
      </c>
      <c r="D156" s="79" t="s">
        <v>22</v>
      </c>
      <c r="E156" s="68">
        <v>0</v>
      </c>
      <c r="F156" s="68">
        <v>0</v>
      </c>
      <c r="G156" s="68">
        <v>0</v>
      </c>
      <c r="H156" s="68">
        <v>0</v>
      </c>
      <c r="I156" s="68">
        <v>0</v>
      </c>
      <c r="J156" s="68">
        <v>0</v>
      </c>
      <c r="K156" s="68">
        <v>0</v>
      </c>
      <c r="L156" s="68">
        <v>0</v>
      </c>
      <c r="M156" s="68">
        <v>156320</v>
      </c>
      <c r="N156" s="68">
        <v>0</v>
      </c>
      <c r="O156" s="68">
        <v>147117</v>
      </c>
      <c r="P156" s="68">
        <v>0</v>
      </c>
      <c r="Q156" s="68">
        <f>SUM(E156:P156)</f>
        <v>303437</v>
      </c>
      <c r="R156" s="65"/>
    </row>
    <row r="157" spans="1:18" s="66" customFormat="1">
      <c r="A157" s="67">
        <v>156</v>
      </c>
      <c r="B157" s="78" t="s">
        <v>305</v>
      </c>
      <c r="C157" s="79" t="s">
        <v>306</v>
      </c>
      <c r="D157" s="79" t="s">
        <v>19</v>
      </c>
      <c r="E157" s="68">
        <v>0</v>
      </c>
      <c r="F157" s="68">
        <v>0</v>
      </c>
      <c r="G157" s="68">
        <v>1800</v>
      </c>
      <c r="H157" s="68">
        <v>0</v>
      </c>
      <c r="I157" s="68">
        <v>0</v>
      </c>
      <c r="J157" s="68">
        <v>0</v>
      </c>
      <c r="K157" s="68">
        <v>0</v>
      </c>
      <c r="L157" s="68">
        <v>0</v>
      </c>
      <c r="M157" s="68">
        <v>0</v>
      </c>
      <c r="N157" s="68">
        <v>0</v>
      </c>
      <c r="O157" s="68">
        <v>0</v>
      </c>
      <c r="P157" s="68">
        <v>0</v>
      </c>
      <c r="Q157" s="68">
        <f>SUM(E157:P157)</f>
        <v>1800</v>
      </c>
      <c r="R157" s="65"/>
    </row>
    <row r="158" spans="1:18" s="66" customFormat="1">
      <c r="A158" s="67">
        <v>157</v>
      </c>
      <c r="B158" s="78" t="s">
        <v>307</v>
      </c>
      <c r="C158" s="79" t="s">
        <v>308</v>
      </c>
      <c r="D158" s="79" t="s">
        <v>135</v>
      </c>
      <c r="E158" s="68">
        <v>0</v>
      </c>
      <c r="F158" s="68">
        <v>0</v>
      </c>
      <c r="G158" s="68">
        <v>0</v>
      </c>
      <c r="H158" s="68">
        <v>17000</v>
      </c>
      <c r="I158" s="68">
        <v>0</v>
      </c>
      <c r="J158" s="68">
        <v>0</v>
      </c>
      <c r="K158" s="68">
        <v>0</v>
      </c>
      <c r="L158" s="68">
        <v>0</v>
      </c>
      <c r="M158" s="68">
        <v>0</v>
      </c>
      <c r="N158" s="68">
        <v>0</v>
      </c>
      <c r="O158" s="68">
        <v>0</v>
      </c>
      <c r="P158" s="68">
        <v>0</v>
      </c>
      <c r="Q158" s="68">
        <f>SUM(E158:P158)</f>
        <v>17000</v>
      </c>
      <c r="R158" s="65"/>
    </row>
    <row r="159" spans="1:18" s="66" customFormat="1">
      <c r="A159" s="67">
        <v>158</v>
      </c>
      <c r="B159" s="78" t="s">
        <v>309</v>
      </c>
      <c r="C159" s="79" t="s">
        <v>310</v>
      </c>
      <c r="D159" s="79" t="s">
        <v>19</v>
      </c>
      <c r="E159" s="68">
        <v>0</v>
      </c>
      <c r="F159" s="68">
        <v>0</v>
      </c>
      <c r="G159" s="68">
        <v>0</v>
      </c>
      <c r="H159" s="68">
        <v>0</v>
      </c>
      <c r="I159" s="68">
        <v>110000</v>
      </c>
      <c r="J159" s="68">
        <v>55000</v>
      </c>
      <c r="K159" s="68">
        <v>0</v>
      </c>
      <c r="L159" s="68">
        <v>0</v>
      </c>
      <c r="M159" s="68">
        <v>2200</v>
      </c>
      <c r="N159" s="68">
        <v>0</v>
      </c>
      <c r="O159" s="68">
        <v>2200</v>
      </c>
      <c r="P159" s="68">
        <v>0</v>
      </c>
      <c r="Q159" s="68">
        <f>SUM(E159:P159)</f>
        <v>169400</v>
      </c>
      <c r="R159" s="65"/>
    </row>
    <row r="160" spans="1:18" s="66" customFormat="1">
      <c r="A160" s="67">
        <v>159</v>
      </c>
      <c r="B160" s="78" t="s">
        <v>311</v>
      </c>
      <c r="C160" s="79" t="s">
        <v>312</v>
      </c>
      <c r="D160" s="79" t="s">
        <v>177</v>
      </c>
      <c r="E160" s="68">
        <v>0</v>
      </c>
      <c r="F160" s="68">
        <v>4200</v>
      </c>
      <c r="G160" s="68">
        <v>0</v>
      </c>
      <c r="H160" s="68">
        <v>0</v>
      </c>
      <c r="I160" s="68">
        <v>2940</v>
      </c>
      <c r="J160" s="68">
        <v>0</v>
      </c>
      <c r="K160" s="68">
        <v>0</v>
      </c>
      <c r="L160" s="68">
        <v>0</v>
      </c>
      <c r="M160" s="68">
        <v>0</v>
      </c>
      <c r="N160" s="68">
        <v>0</v>
      </c>
      <c r="O160" s="68">
        <v>0</v>
      </c>
      <c r="P160" s="68">
        <v>0</v>
      </c>
      <c r="Q160" s="68">
        <f>SUM(E160:P160)</f>
        <v>7140</v>
      </c>
      <c r="R160" s="65"/>
    </row>
    <row r="161" spans="1:18" s="66" customFormat="1">
      <c r="A161" s="67">
        <v>160</v>
      </c>
      <c r="B161" s="78" t="s">
        <v>313</v>
      </c>
      <c r="C161" s="79" t="s">
        <v>314</v>
      </c>
      <c r="D161" s="79" t="s">
        <v>55</v>
      </c>
      <c r="E161" s="68">
        <v>0</v>
      </c>
      <c r="F161" s="68">
        <v>0</v>
      </c>
      <c r="G161" s="68">
        <v>0</v>
      </c>
      <c r="H161" s="68">
        <v>0</v>
      </c>
      <c r="I161" s="68">
        <v>0</v>
      </c>
      <c r="J161" s="68">
        <v>0</v>
      </c>
      <c r="K161" s="68">
        <v>0</v>
      </c>
      <c r="L161" s="68">
        <v>0</v>
      </c>
      <c r="M161" s="68">
        <v>0</v>
      </c>
      <c r="N161" s="68">
        <v>0</v>
      </c>
      <c r="O161" s="68">
        <v>42530</v>
      </c>
      <c r="P161" s="68">
        <v>0</v>
      </c>
      <c r="Q161" s="68">
        <f>SUM(E161:P161)</f>
        <v>42530</v>
      </c>
      <c r="R161" s="65"/>
    </row>
    <row r="162" spans="1:18" s="66" customFormat="1">
      <c r="A162" s="67">
        <v>161</v>
      </c>
      <c r="B162" s="78" t="s">
        <v>315</v>
      </c>
      <c r="C162" s="79" t="s">
        <v>23</v>
      </c>
      <c r="D162" s="79" t="s">
        <v>30</v>
      </c>
      <c r="E162" s="68">
        <v>0</v>
      </c>
      <c r="F162" s="68">
        <v>0</v>
      </c>
      <c r="G162" s="68">
        <v>0</v>
      </c>
      <c r="H162" s="68">
        <v>3000</v>
      </c>
      <c r="I162" s="68">
        <v>0</v>
      </c>
      <c r="J162" s="68">
        <v>10200</v>
      </c>
      <c r="K162" s="68">
        <v>0</v>
      </c>
      <c r="L162" s="68">
        <v>0</v>
      </c>
      <c r="M162" s="68">
        <v>0</v>
      </c>
      <c r="N162" s="68">
        <v>5200</v>
      </c>
      <c r="O162" s="68">
        <v>0</v>
      </c>
      <c r="P162" s="68">
        <v>0</v>
      </c>
      <c r="Q162" s="68">
        <f>SUM(E162:P162)</f>
        <v>18400</v>
      </c>
      <c r="R162" s="65"/>
    </row>
    <row r="163" spans="1:18" s="66" customFormat="1">
      <c r="A163" s="67">
        <v>162</v>
      </c>
      <c r="B163" s="78" t="s">
        <v>316</v>
      </c>
      <c r="C163" s="79" t="s">
        <v>317</v>
      </c>
      <c r="D163" s="79" t="s">
        <v>90</v>
      </c>
      <c r="E163" s="68">
        <v>8900</v>
      </c>
      <c r="F163" s="68">
        <v>11380</v>
      </c>
      <c r="G163" s="68" t="s">
        <v>23</v>
      </c>
      <c r="H163" s="68">
        <v>9000</v>
      </c>
      <c r="I163" s="68">
        <v>16680</v>
      </c>
      <c r="J163" s="68">
        <v>0</v>
      </c>
      <c r="K163" s="68">
        <v>0</v>
      </c>
      <c r="L163" s="68">
        <v>9000</v>
      </c>
      <c r="M163" s="68">
        <v>18000</v>
      </c>
      <c r="N163" s="68">
        <v>0</v>
      </c>
      <c r="O163" s="68">
        <v>16540</v>
      </c>
      <c r="P163" s="68">
        <v>8130</v>
      </c>
      <c r="Q163" s="68">
        <f>SUM(E163:P163)</f>
        <v>97630</v>
      </c>
      <c r="R163" s="65"/>
    </row>
    <row r="164" spans="1:18" s="66" customFormat="1">
      <c r="A164" s="67">
        <v>163</v>
      </c>
      <c r="B164" s="78" t="s">
        <v>318</v>
      </c>
      <c r="C164" s="79" t="s">
        <v>23</v>
      </c>
      <c r="D164" s="79" t="s">
        <v>30</v>
      </c>
      <c r="E164" s="68">
        <v>0</v>
      </c>
      <c r="F164" s="68">
        <v>0</v>
      </c>
      <c r="G164" s="68">
        <v>0</v>
      </c>
      <c r="H164" s="68">
        <v>0</v>
      </c>
      <c r="I164" s="68">
        <v>0</v>
      </c>
      <c r="J164" s="68">
        <v>0</v>
      </c>
      <c r="K164" s="68">
        <v>0</v>
      </c>
      <c r="L164" s="68">
        <v>0</v>
      </c>
      <c r="M164" s="68">
        <v>5850</v>
      </c>
      <c r="N164" s="68">
        <v>0</v>
      </c>
      <c r="O164" s="68">
        <v>0</v>
      </c>
      <c r="P164" s="68">
        <v>0</v>
      </c>
      <c r="Q164" s="68">
        <f>SUM(E164:P164)</f>
        <v>5850</v>
      </c>
      <c r="R164" s="65"/>
    </row>
    <row r="165" spans="1:18" s="66" customFormat="1">
      <c r="A165" s="67">
        <v>164</v>
      </c>
      <c r="B165" s="78" t="s">
        <v>319</v>
      </c>
      <c r="C165" s="79" t="s">
        <v>320</v>
      </c>
      <c r="D165" s="79" t="s">
        <v>28</v>
      </c>
      <c r="E165" s="68">
        <v>0</v>
      </c>
      <c r="F165" s="68">
        <v>0</v>
      </c>
      <c r="G165" s="68">
        <v>0</v>
      </c>
      <c r="H165" s="68">
        <v>4500</v>
      </c>
      <c r="I165" s="68">
        <v>0</v>
      </c>
      <c r="J165" s="68">
        <v>3150</v>
      </c>
      <c r="K165" s="68">
        <v>0</v>
      </c>
      <c r="L165" s="68">
        <v>3852.5</v>
      </c>
      <c r="M165" s="68">
        <v>13666.5</v>
      </c>
      <c r="N165" s="68">
        <v>9600</v>
      </c>
      <c r="O165" s="68">
        <v>6900</v>
      </c>
      <c r="P165" s="68">
        <v>0</v>
      </c>
      <c r="Q165" s="68">
        <f>SUM(E165:P165)</f>
        <v>41669</v>
      </c>
      <c r="R165" s="65"/>
    </row>
    <row r="166" spans="1:18" s="66" customFormat="1">
      <c r="A166" s="67">
        <v>165</v>
      </c>
      <c r="B166" s="78" t="s">
        <v>321</v>
      </c>
      <c r="C166" s="79" t="s">
        <v>322</v>
      </c>
      <c r="D166" s="79" t="s">
        <v>177</v>
      </c>
      <c r="E166" s="68">
        <v>0</v>
      </c>
      <c r="F166" s="68">
        <v>0</v>
      </c>
      <c r="G166" s="68">
        <v>0</v>
      </c>
      <c r="H166" s="68">
        <v>0</v>
      </c>
      <c r="I166" s="68">
        <v>0</v>
      </c>
      <c r="J166" s="68">
        <v>0</v>
      </c>
      <c r="K166" s="68">
        <v>125700</v>
      </c>
      <c r="L166" s="68">
        <v>273500</v>
      </c>
      <c r="M166" s="68">
        <v>65500</v>
      </c>
      <c r="N166" s="68">
        <v>65500</v>
      </c>
      <c r="O166" s="68">
        <v>225630</v>
      </c>
      <c r="P166" s="69">
        <v>195960</v>
      </c>
      <c r="Q166" s="68">
        <f>SUM(E166:P166)</f>
        <v>951790</v>
      </c>
      <c r="R166" s="65"/>
    </row>
    <row r="167" spans="1:18" s="66" customFormat="1">
      <c r="A167" s="67">
        <v>166</v>
      </c>
      <c r="B167" s="78" t="s">
        <v>323</v>
      </c>
      <c r="C167" s="79" t="s">
        <v>23</v>
      </c>
      <c r="D167" s="79" t="s">
        <v>30</v>
      </c>
      <c r="E167" s="68">
        <v>0</v>
      </c>
      <c r="F167" s="68">
        <v>2040</v>
      </c>
      <c r="G167" s="68">
        <v>0</v>
      </c>
      <c r="H167" s="68">
        <v>0</v>
      </c>
      <c r="I167" s="68">
        <v>0</v>
      </c>
      <c r="J167" s="68">
        <v>0</v>
      </c>
      <c r="K167" s="68">
        <v>0</v>
      </c>
      <c r="L167" s="68">
        <v>0</v>
      </c>
      <c r="M167" s="68">
        <v>0</v>
      </c>
      <c r="N167" s="68">
        <v>0</v>
      </c>
      <c r="O167" s="68">
        <v>0</v>
      </c>
      <c r="P167" s="68">
        <v>0</v>
      </c>
      <c r="Q167" s="68">
        <f>SUM(E167:P167)</f>
        <v>2040</v>
      </c>
      <c r="R167" s="65"/>
    </row>
    <row r="168" spans="1:18" s="66" customFormat="1">
      <c r="A168" s="67">
        <v>167</v>
      </c>
      <c r="B168" s="78" t="s">
        <v>324</v>
      </c>
      <c r="C168" s="79" t="s">
        <v>325</v>
      </c>
      <c r="D168" s="79" t="s">
        <v>69</v>
      </c>
      <c r="E168" s="68">
        <v>0</v>
      </c>
      <c r="F168" s="68">
        <v>0</v>
      </c>
      <c r="G168" s="68">
        <v>0</v>
      </c>
      <c r="H168" s="68">
        <v>0</v>
      </c>
      <c r="I168" s="68">
        <v>0</v>
      </c>
      <c r="J168" s="68">
        <v>0</v>
      </c>
      <c r="K168" s="68">
        <v>0</v>
      </c>
      <c r="L168" s="68">
        <v>0</v>
      </c>
      <c r="M168" s="68">
        <v>0</v>
      </c>
      <c r="N168" s="68">
        <v>0</v>
      </c>
      <c r="O168" s="68">
        <v>0</v>
      </c>
      <c r="P168" s="68">
        <v>36000</v>
      </c>
      <c r="Q168" s="68">
        <f>SUM(E168:P168)</f>
        <v>36000</v>
      </c>
      <c r="R168" s="65"/>
    </row>
    <row r="169" spans="1:18" s="66" customFormat="1">
      <c r="A169" s="67">
        <v>168</v>
      </c>
      <c r="B169" s="78" t="s">
        <v>326</v>
      </c>
      <c r="C169" s="79" t="s">
        <v>327</v>
      </c>
      <c r="D169" s="79" t="s">
        <v>19</v>
      </c>
      <c r="E169" s="68">
        <v>16574</v>
      </c>
      <c r="F169" s="68">
        <v>0</v>
      </c>
      <c r="G169" s="68">
        <v>0</v>
      </c>
      <c r="H169" s="68">
        <v>0</v>
      </c>
      <c r="I169" s="68">
        <v>0</v>
      </c>
      <c r="J169" s="68">
        <v>0</v>
      </c>
      <c r="K169" s="68">
        <v>0</v>
      </c>
      <c r="L169" s="68">
        <v>0</v>
      </c>
      <c r="M169" s="68">
        <v>0</v>
      </c>
      <c r="N169" s="68">
        <v>0</v>
      </c>
      <c r="O169" s="68">
        <v>0</v>
      </c>
      <c r="P169" s="68">
        <v>22075</v>
      </c>
      <c r="Q169" s="68">
        <f>SUM(E169:P169)</f>
        <v>38649</v>
      </c>
      <c r="R169" s="65"/>
    </row>
    <row r="170" spans="1:18" s="66" customFormat="1">
      <c r="A170" s="67">
        <v>169</v>
      </c>
      <c r="B170" s="78" t="s">
        <v>328</v>
      </c>
      <c r="C170" s="79" t="s">
        <v>329</v>
      </c>
      <c r="D170" s="79" t="s">
        <v>90</v>
      </c>
      <c r="E170" s="68">
        <v>0</v>
      </c>
      <c r="F170" s="68">
        <v>19500</v>
      </c>
      <c r="G170" s="68">
        <v>0</v>
      </c>
      <c r="H170" s="68">
        <v>0</v>
      </c>
      <c r="I170" s="68">
        <v>0</v>
      </c>
      <c r="J170" s="68">
        <v>19500</v>
      </c>
      <c r="K170" s="68">
        <v>0</v>
      </c>
      <c r="L170" s="68">
        <v>0</v>
      </c>
      <c r="M170" s="68">
        <v>0</v>
      </c>
      <c r="N170" s="68">
        <v>0</v>
      </c>
      <c r="O170" s="68">
        <v>0</v>
      </c>
      <c r="P170" s="68">
        <v>0</v>
      </c>
      <c r="Q170" s="68">
        <f>SUM(E170:P170)</f>
        <v>39000</v>
      </c>
      <c r="R170" s="65"/>
    </row>
    <row r="171" spans="1:18" s="66" customFormat="1">
      <c r="A171" s="67">
        <v>170</v>
      </c>
      <c r="B171" s="78" t="s">
        <v>330</v>
      </c>
      <c r="C171" s="79" t="s">
        <v>331</v>
      </c>
      <c r="D171" s="79" t="s">
        <v>19</v>
      </c>
      <c r="E171" s="68">
        <v>0</v>
      </c>
      <c r="F171" s="68">
        <v>0</v>
      </c>
      <c r="G171" s="68">
        <v>0</v>
      </c>
      <c r="H171" s="68">
        <v>0</v>
      </c>
      <c r="I171" s="68">
        <v>0</v>
      </c>
      <c r="J171" s="68">
        <v>0</v>
      </c>
      <c r="K171" s="68">
        <v>27200</v>
      </c>
      <c r="L171" s="68">
        <v>0</v>
      </c>
      <c r="M171" s="68">
        <v>0</v>
      </c>
      <c r="N171" s="68">
        <v>21870</v>
      </c>
      <c r="O171" s="68">
        <v>12880</v>
      </c>
      <c r="P171" s="68">
        <v>14275</v>
      </c>
      <c r="Q171" s="68">
        <f>SUM(E171:P171)</f>
        <v>76225</v>
      </c>
      <c r="R171" s="65"/>
    </row>
    <row r="172" spans="1:18" s="66" customFormat="1">
      <c r="A172" s="67">
        <v>171</v>
      </c>
      <c r="B172" s="78" t="s">
        <v>332</v>
      </c>
      <c r="C172" s="79" t="s">
        <v>23</v>
      </c>
      <c r="D172" s="79" t="s">
        <v>30</v>
      </c>
      <c r="E172" s="68">
        <v>0</v>
      </c>
      <c r="F172" s="68">
        <v>28950</v>
      </c>
      <c r="G172" s="68">
        <v>0</v>
      </c>
      <c r="H172" s="68">
        <v>0</v>
      </c>
      <c r="I172" s="68">
        <v>0</v>
      </c>
      <c r="J172" s="68">
        <v>0</v>
      </c>
      <c r="K172" s="68">
        <v>0</v>
      </c>
      <c r="L172" s="68">
        <v>0</v>
      </c>
      <c r="M172" s="68">
        <v>0</v>
      </c>
      <c r="N172" s="68">
        <v>0</v>
      </c>
      <c r="O172" s="68">
        <v>0</v>
      </c>
      <c r="P172" s="68">
        <v>0</v>
      </c>
      <c r="Q172" s="68">
        <f>SUM(E172:P172)</f>
        <v>28950</v>
      </c>
      <c r="R172" s="65"/>
    </row>
    <row r="173" spans="1:18" s="66" customFormat="1">
      <c r="A173" s="67">
        <v>172</v>
      </c>
      <c r="B173" s="78" t="s">
        <v>333</v>
      </c>
      <c r="C173" s="79" t="s">
        <v>23</v>
      </c>
      <c r="D173" s="79" t="s">
        <v>30</v>
      </c>
      <c r="E173" s="68">
        <v>0</v>
      </c>
      <c r="F173" s="68">
        <v>0</v>
      </c>
      <c r="G173" s="68">
        <v>0</v>
      </c>
      <c r="H173" s="68">
        <v>0</v>
      </c>
      <c r="I173" s="68">
        <v>0</v>
      </c>
      <c r="J173" s="68">
        <v>0</v>
      </c>
      <c r="K173" s="68">
        <v>0</v>
      </c>
      <c r="L173" s="68">
        <v>0</v>
      </c>
      <c r="M173" s="68">
        <v>24313</v>
      </c>
      <c r="N173" s="68">
        <v>27860</v>
      </c>
      <c r="O173" s="68">
        <v>10000</v>
      </c>
      <c r="P173" s="68">
        <v>4900</v>
      </c>
      <c r="Q173" s="68">
        <f>SUM(E173:P173)</f>
        <v>67073</v>
      </c>
      <c r="R173" s="65"/>
    </row>
    <row r="174" spans="1:18" s="66" customFormat="1">
      <c r="A174" s="67">
        <v>173</v>
      </c>
      <c r="B174" s="78" t="s">
        <v>334</v>
      </c>
      <c r="C174" s="79" t="s">
        <v>335</v>
      </c>
      <c r="D174" s="79" t="s">
        <v>19</v>
      </c>
      <c r="E174" s="68">
        <v>0</v>
      </c>
      <c r="F174" s="68">
        <v>0</v>
      </c>
      <c r="G174" s="68">
        <v>0</v>
      </c>
      <c r="H174" s="68">
        <v>0</v>
      </c>
      <c r="I174" s="68">
        <v>15090</v>
      </c>
      <c r="J174" s="68">
        <v>0</v>
      </c>
      <c r="K174" s="68">
        <v>3800</v>
      </c>
      <c r="L174" s="68">
        <v>0</v>
      </c>
      <c r="M174" s="68">
        <v>0</v>
      </c>
      <c r="N174" s="68">
        <v>0</v>
      </c>
      <c r="O174" s="68">
        <v>114600</v>
      </c>
      <c r="P174" s="68">
        <v>0</v>
      </c>
      <c r="Q174" s="68">
        <f>SUM(E174:P174)</f>
        <v>133490</v>
      </c>
      <c r="R174" s="65"/>
    </row>
    <row r="175" spans="1:18" s="66" customFormat="1">
      <c r="A175" s="67">
        <v>174</v>
      </c>
      <c r="B175" s="78" t="s">
        <v>336</v>
      </c>
      <c r="C175" s="79" t="s">
        <v>337</v>
      </c>
      <c r="D175" s="79" t="s">
        <v>19</v>
      </c>
      <c r="E175" s="68">
        <v>0</v>
      </c>
      <c r="F175" s="68">
        <v>0</v>
      </c>
      <c r="G175" s="68">
        <v>14070</v>
      </c>
      <c r="H175" s="68">
        <v>0</v>
      </c>
      <c r="I175" s="68">
        <v>0</v>
      </c>
      <c r="J175" s="68">
        <v>17220</v>
      </c>
      <c r="K175" s="68">
        <v>0</v>
      </c>
      <c r="L175" s="68">
        <v>0</v>
      </c>
      <c r="M175" s="68">
        <v>0</v>
      </c>
      <c r="N175" s="68">
        <v>0</v>
      </c>
      <c r="O175" s="68">
        <v>0</v>
      </c>
      <c r="P175" s="68">
        <v>0</v>
      </c>
      <c r="Q175" s="68">
        <f>SUM(E175:P175)</f>
        <v>31290</v>
      </c>
      <c r="R175" s="65"/>
    </row>
    <row r="176" spans="1:18" s="66" customFormat="1">
      <c r="A176" s="67">
        <v>175</v>
      </c>
      <c r="B176" s="78" t="s">
        <v>338</v>
      </c>
      <c r="C176" s="79" t="s">
        <v>339</v>
      </c>
      <c r="D176" s="79" t="s">
        <v>151</v>
      </c>
      <c r="E176" s="68">
        <v>0</v>
      </c>
      <c r="F176" s="68">
        <v>0</v>
      </c>
      <c r="G176" s="68">
        <v>0</v>
      </c>
      <c r="H176" s="68">
        <v>0</v>
      </c>
      <c r="I176" s="68">
        <v>0</v>
      </c>
      <c r="J176" s="68">
        <v>0</v>
      </c>
      <c r="K176" s="68">
        <v>0</v>
      </c>
      <c r="L176" s="68">
        <v>0</v>
      </c>
      <c r="M176" s="68">
        <v>3920</v>
      </c>
      <c r="N176" s="68">
        <v>0</v>
      </c>
      <c r="O176" s="68">
        <v>0</v>
      </c>
      <c r="P176" s="68">
        <v>0</v>
      </c>
      <c r="Q176" s="68">
        <f>SUM(E176:P176)</f>
        <v>3920</v>
      </c>
      <c r="R176" s="65"/>
    </row>
    <row r="177" spans="1:18" s="66" customFormat="1">
      <c r="A177" s="67">
        <v>176</v>
      </c>
      <c r="B177" s="78" t="s">
        <v>340</v>
      </c>
      <c r="C177" s="79" t="s">
        <v>341</v>
      </c>
      <c r="D177" s="79" t="s">
        <v>342</v>
      </c>
      <c r="E177" s="68">
        <v>0</v>
      </c>
      <c r="F177" s="68">
        <v>0</v>
      </c>
      <c r="G177" s="68">
        <v>0</v>
      </c>
      <c r="H177" s="68">
        <v>0</v>
      </c>
      <c r="I177" s="68">
        <v>0</v>
      </c>
      <c r="J177" s="68">
        <v>0</v>
      </c>
      <c r="K177" s="68">
        <v>330</v>
      </c>
      <c r="L177" s="68">
        <v>0</v>
      </c>
      <c r="M177" s="68">
        <v>0</v>
      </c>
      <c r="N177" s="68">
        <v>0</v>
      </c>
      <c r="O177" s="68">
        <v>0</v>
      </c>
      <c r="P177" s="68">
        <v>0</v>
      </c>
      <c r="Q177" s="68">
        <f>SUM(E177:P177)</f>
        <v>330</v>
      </c>
      <c r="R177" s="65"/>
    </row>
    <row r="178" spans="1:18" s="66" customFormat="1">
      <c r="A178" s="67">
        <v>177</v>
      </c>
      <c r="B178" s="78" t="s">
        <v>343</v>
      </c>
      <c r="C178" s="79" t="s">
        <v>344</v>
      </c>
      <c r="D178" s="79" t="s">
        <v>90</v>
      </c>
      <c r="E178" s="68">
        <v>0</v>
      </c>
      <c r="F178" s="68">
        <v>0</v>
      </c>
      <c r="G178" s="68">
        <v>0</v>
      </c>
      <c r="H178" s="68">
        <v>0</v>
      </c>
      <c r="I178" s="68">
        <v>0</v>
      </c>
      <c r="J178" s="68">
        <v>0</v>
      </c>
      <c r="K178" s="68">
        <v>400</v>
      </c>
      <c r="L178" s="68">
        <v>0</v>
      </c>
      <c r="M178" s="68">
        <v>0</v>
      </c>
      <c r="N178" s="68">
        <v>0</v>
      </c>
      <c r="O178" s="68">
        <v>800</v>
      </c>
      <c r="P178" s="68">
        <v>0</v>
      </c>
      <c r="Q178" s="68">
        <f>SUM(E178:P178)</f>
        <v>1200</v>
      </c>
      <c r="R178" s="65"/>
    </row>
    <row r="179" spans="1:18" s="66" customFormat="1">
      <c r="A179" s="67">
        <v>178</v>
      </c>
      <c r="B179" s="78" t="s">
        <v>345</v>
      </c>
      <c r="C179" s="79" t="s">
        <v>23</v>
      </c>
      <c r="D179" s="79" t="s">
        <v>30</v>
      </c>
      <c r="E179" s="68">
        <v>0</v>
      </c>
      <c r="F179" s="68">
        <v>2180</v>
      </c>
      <c r="G179" s="68">
        <v>0</v>
      </c>
      <c r="H179" s="68">
        <v>0</v>
      </c>
      <c r="I179" s="68">
        <v>0</v>
      </c>
      <c r="J179" s="68">
        <v>0</v>
      </c>
      <c r="K179" s="68">
        <v>0</v>
      </c>
      <c r="L179" s="68">
        <v>0</v>
      </c>
      <c r="M179" s="68">
        <v>0</v>
      </c>
      <c r="N179" s="68">
        <v>0</v>
      </c>
      <c r="O179" s="68">
        <v>0</v>
      </c>
      <c r="P179" s="68">
        <v>0</v>
      </c>
      <c r="Q179" s="68">
        <f>SUM(E179:P179)</f>
        <v>2180</v>
      </c>
      <c r="R179" s="65"/>
    </row>
    <row r="180" spans="1:18" s="66" customFormat="1" ht="30.75">
      <c r="A180" s="67">
        <v>179</v>
      </c>
      <c r="B180" s="78" t="s">
        <v>346</v>
      </c>
      <c r="C180" s="80" t="s">
        <v>347</v>
      </c>
      <c r="D180" s="81" t="s">
        <v>90</v>
      </c>
      <c r="E180" s="70">
        <v>0</v>
      </c>
      <c r="F180" s="70">
        <v>0</v>
      </c>
      <c r="G180" s="70">
        <v>0</v>
      </c>
      <c r="H180" s="70">
        <v>0</v>
      </c>
      <c r="I180" s="70">
        <v>0</v>
      </c>
      <c r="J180" s="70">
        <v>905</v>
      </c>
      <c r="K180" s="70">
        <v>0</v>
      </c>
      <c r="L180" s="70">
        <v>0</v>
      </c>
      <c r="M180" s="70">
        <v>0</v>
      </c>
      <c r="N180" s="70">
        <v>0</v>
      </c>
      <c r="O180" s="70">
        <v>0</v>
      </c>
      <c r="P180" s="70">
        <v>0</v>
      </c>
      <c r="Q180" s="70">
        <f>SUM(E180:P180)</f>
        <v>905</v>
      </c>
      <c r="R180" s="65"/>
    </row>
    <row r="181" spans="1:18" s="66" customFormat="1" ht="30.75">
      <c r="A181" s="67">
        <v>180</v>
      </c>
      <c r="B181" s="78" t="s">
        <v>348</v>
      </c>
      <c r="C181" s="79" t="s">
        <v>349</v>
      </c>
      <c r="D181" s="79" t="s">
        <v>135</v>
      </c>
      <c r="E181" s="68">
        <v>0</v>
      </c>
      <c r="F181" s="68">
        <v>0</v>
      </c>
      <c r="G181" s="68">
        <v>0</v>
      </c>
      <c r="H181" s="68">
        <v>0</v>
      </c>
      <c r="I181" s="68">
        <v>0</v>
      </c>
      <c r="J181" s="68">
        <v>14400</v>
      </c>
      <c r="K181" s="68">
        <v>30500</v>
      </c>
      <c r="L181" s="68">
        <v>0</v>
      </c>
      <c r="M181" s="68">
        <v>0</v>
      </c>
      <c r="N181" s="68">
        <v>0</v>
      </c>
      <c r="O181" s="68">
        <v>0</v>
      </c>
      <c r="P181" s="68">
        <v>0</v>
      </c>
      <c r="Q181" s="68">
        <f>SUM(E181:P181)</f>
        <v>44900</v>
      </c>
      <c r="R181" s="65"/>
    </row>
    <row r="182" spans="1:18" s="66" customFormat="1" ht="30.75">
      <c r="A182" s="67">
        <v>181</v>
      </c>
      <c r="B182" s="78" t="s">
        <v>350</v>
      </c>
      <c r="C182" s="79" t="s">
        <v>347</v>
      </c>
      <c r="D182" s="79" t="s">
        <v>90</v>
      </c>
      <c r="E182" s="68">
        <v>0</v>
      </c>
      <c r="F182" s="68">
        <v>4900</v>
      </c>
      <c r="G182" s="68">
        <v>0</v>
      </c>
      <c r="H182" s="68">
        <v>24800</v>
      </c>
      <c r="I182" s="68">
        <v>0</v>
      </c>
      <c r="J182" s="68">
        <v>15425</v>
      </c>
      <c r="K182" s="68">
        <v>2581</v>
      </c>
      <c r="L182" s="68">
        <v>4500</v>
      </c>
      <c r="M182" s="68">
        <v>6820</v>
      </c>
      <c r="N182" s="68" t="s">
        <v>23</v>
      </c>
      <c r="O182" s="68">
        <v>5100</v>
      </c>
      <c r="P182" s="68"/>
      <c r="Q182" s="68">
        <f>SUM(E182:P182)</f>
        <v>64126</v>
      </c>
      <c r="R182" s="65"/>
    </row>
    <row r="183" spans="1:18" s="66" customFormat="1" ht="30.75">
      <c r="A183" s="67">
        <v>182</v>
      </c>
      <c r="B183" s="78" t="s">
        <v>351</v>
      </c>
      <c r="C183" s="79" t="s">
        <v>352</v>
      </c>
      <c r="D183" s="79" t="s">
        <v>19</v>
      </c>
      <c r="E183" s="68">
        <v>34724</v>
      </c>
      <c r="F183" s="68">
        <v>44180</v>
      </c>
      <c r="G183" s="68">
        <v>38680</v>
      </c>
      <c r="H183" s="68">
        <v>29450</v>
      </c>
      <c r="I183" s="68">
        <v>95000</v>
      </c>
      <c r="J183" s="68">
        <v>79380</v>
      </c>
      <c r="K183" s="68">
        <v>283836</v>
      </c>
      <c r="L183" s="68">
        <v>32690</v>
      </c>
      <c r="M183" s="68">
        <v>11320</v>
      </c>
      <c r="N183" s="68">
        <v>26367</v>
      </c>
      <c r="O183" s="68">
        <v>33684</v>
      </c>
      <c r="P183" s="68">
        <v>36502</v>
      </c>
      <c r="Q183" s="68">
        <f>SUM(E183:P183)</f>
        <v>745813</v>
      </c>
      <c r="R183" s="65"/>
    </row>
    <row r="184" spans="1:18" s="66" customFormat="1" ht="30.75">
      <c r="A184" s="67">
        <v>183</v>
      </c>
      <c r="B184" s="78" t="s">
        <v>353</v>
      </c>
      <c r="C184" s="79" t="s">
        <v>354</v>
      </c>
      <c r="D184" s="79" t="s">
        <v>177</v>
      </c>
      <c r="E184" s="68">
        <v>30567</v>
      </c>
      <c r="F184" s="68">
        <v>23768</v>
      </c>
      <c r="G184" s="68">
        <v>44118</v>
      </c>
      <c r="H184" s="68">
        <v>25700</v>
      </c>
      <c r="I184" s="68">
        <v>17375</v>
      </c>
      <c r="J184" s="68">
        <v>50375</v>
      </c>
      <c r="K184" s="68">
        <v>7280</v>
      </c>
      <c r="L184" s="68">
        <v>35850</v>
      </c>
      <c r="M184" s="68">
        <v>15395</v>
      </c>
      <c r="N184" s="68">
        <v>13624.5</v>
      </c>
      <c r="O184" s="68">
        <v>18170</v>
      </c>
      <c r="P184" s="68">
        <v>0</v>
      </c>
      <c r="Q184" s="68">
        <f>SUM(E184:P184)</f>
        <v>282222.5</v>
      </c>
      <c r="R184" s="65"/>
    </row>
    <row r="185" spans="1:18" s="66" customFormat="1">
      <c r="A185" s="67">
        <v>184</v>
      </c>
      <c r="B185" s="78" t="s">
        <v>355</v>
      </c>
      <c r="C185" s="79" t="s">
        <v>356</v>
      </c>
      <c r="D185" s="79" t="s">
        <v>19</v>
      </c>
      <c r="E185" s="68">
        <v>1360</v>
      </c>
      <c r="F185" s="68">
        <v>0</v>
      </c>
      <c r="G185" s="68">
        <v>0</v>
      </c>
      <c r="H185" s="68">
        <v>0</v>
      </c>
      <c r="I185" s="68">
        <v>0</v>
      </c>
      <c r="J185" s="68">
        <v>0</v>
      </c>
      <c r="K185" s="68">
        <v>0</v>
      </c>
      <c r="L185" s="68">
        <v>0</v>
      </c>
      <c r="M185" s="68">
        <v>0</v>
      </c>
      <c r="N185" s="68">
        <v>0</v>
      </c>
      <c r="O185" s="68">
        <v>0</v>
      </c>
      <c r="P185" s="68">
        <v>0</v>
      </c>
      <c r="Q185" s="68">
        <f>SUM(E185:P185)</f>
        <v>1360</v>
      </c>
      <c r="R185" s="65"/>
    </row>
    <row r="186" spans="1:18" s="66" customFormat="1" ht="30.75">
      <c r="A186" s="67">
        <v>185</v>
      </c>
      <c r="B186" s="78" t="s">
        <v>357</v>
      </c>
      <c r="C186" s="79" t="s">
        <v>358</v>
      </c>
      <c r="D186" s="79" t="s">
        <v>19</v>
      </c>
      <c r="E186" s="68">
        <v>0</v>
      </c>
      <c r="F186" s="68">
        <v>25423.73</v>
      </c>
      <c r="G186" s="68">
        <v>0</v>
      </c>
      <c r="H186" s="68">
        <v>0</v>
      </c>
      <c r="I186" s="68">
        <v>0</v>
      </c>
      <c r="J186" s="68">
        <v>47584</v>
      </c>
      <c r="K186" s="68">
        <v>123584</v>
      </c>
      <c r="L186" s="68">
        <v>60480</v>
      </c>
      <c r="M186" s="68">
        <v>19101</v>
      </c>
      <c r="N186" s="68">
        <v>0</v>
      </c>
      <c r="O186" s="68">
        <v>0</v>
      </c>
      <c r="P186" s="68">
        <v>33423.81</v>
      </c>
      <c r="Q186" s="68">
        <f>SUM(E186:P186)</f>
        <v>309596.53999999998</v>
      </c>
      <c r="R186" s="65"/>
    </row>
    <row r="187" spans="1:18" s="66" customFormat="1">
      <c r="A187" s="67">
        <v>186</v>
      </c>
      <c r="B187" s="78" t="s">
        <v>359</v>
      </c>
      <c r="C187" s="79" t="s">
        <v>360</v>
      </c>
      <c r="D187" s="79" t="s">
        <v>19</v>
      </c>
      <c r="E187" s="68">
        <v>0</v>
      </c>
      <c r="F187" s="68">
        <v>0</v>
      </c>
      <c r="G187" s="68">
        <v>0</v>
      </c>
      <c r="H187" s="68">
        <v>0</v>
      </c>
      <c r="I187" s="68">
        <v>0</v>
      </c>
      <c r="J187" s="68">
        <v>0</v>
      </c>
      <c r="K187" s="68">
        <v>3500</v>
      </c>
      <c r="L187" s="68">
        <v>0</v>
      </c>
      <c r="M187" s="68">
        <v>0</v>
      </c>
      <c r="N187" s="68">
        <v>0</v>
      </c>
      <c r="O187" s="68">
        <v>0</v>
      </c>
      <c r="P187" s="68">
        <v>0</v>
      </c>
      <c r="Q187" s="68">
        <f>SUM(E187:P187)</f>
        <v>3500</v>
      </c>
      <c r="R187" s="65"/>
    </row>
    <row r="188" spans="1:18" s="66" customFormat="1">
      <c r="A188" s="67">
        <v>187</v>
      </c>
      <c r="B188" s="78" t="s">
        <v>361</v>
      </c>
      <c r="C188" s="79" t="s">
        <v>362</v>
      </c>
      <c r="D188" s="79" t="s">
        <v>257</v>
      </c>
      <c r="E188" s="68">
        <v>0</v>
      </c>
      <c r="F188" s="68">
        <v>38571.43</v>
      </c>
      <c r="G188" s="68">
        <v>0</v>
      </c>
      <c r="H188" s="68">
        <v>40178.57</v>
      </c>
      <c r="I188" s="68">
        <v>0</v>
      </c>
      <c r="J188" s="68">
        <v>0</v>
      </c>
      <c r="K188" s="68">
        <v>94571</v>
      </c>
      <c r="L188" s="68">
        <v>0</v>
      </c>
      <c r="M188" s="68">
        <v>106666</v>
      </c>
      <c r="N188" s="68">
        <v>0</v>
      </c>
      <c r="O188" s="68">
        <v>60000</v>
      </c>
      <c r="P188" s="68">
        <v>0</v>
      </c>
      <c r="Q188" s="68">
        <f>SUM(E188:P188)</f>
        <v>339987</v>
      </c>
      <c r="R188" s="65"/>
    </row>
    <row r="189" spans="1:18" s="66" customFormat="1" ht="30.75">
      <c r="A189" s="67">
        <v>188</v>
      </c>
      <c r="B189" s="78" t="s">
        <v>363</v>
      </c>
      <c r="C189" s="79" t="s">
        <v>364</v>
      </c>
      <c r="D189" s="79" t="s">
        <v>104</v>
      </c>
      <c r="E189" s="68">
        <v>0</v>
      </c>
      <c r="F189" s="68">
        <v>0</v>
      </c>
      <c r="G189" s="68">
        <v>0</v>
      </c>
      <c r="H189" s="68">
        <v>0</v>
      </c>
      <c r="I189" s="68">
        <v>0</v>
      </c>
      <c r="J189" s="68">
        <v>0</v>
      </c>
      <c r="K189" s="68">
        <v>0</v>
      </c>
      <c r="L189" s="68">
        <v>0</v>
      </c>
      <c r="M189" s="68">
        <v>0</v>
      </c>
      <c r="N189" s="68">
        <v>4761.8999999999996</v>
      </c>
      <c r="O189" s="68">
        <v>4761.8999999999996</v>
      </c>
      <c r="P189" s="68">
        <v>0</v>
      </c>
      <c r="Q189" s="68">
        <f>SUM(E189:P189)</f>
        <v>9523.7999999999993</v>
      </c>
      <c r="R189" s="65"/>
    </row>
    <row r="190" spans="1:18" s="66" customFormat="1">
      <c r="A190" s="67">
        <v>189</v>
      </c>
      <c r="B190" s="78" t="s">
        <v>365</v>
      </c>
      <c r="C190" s="79" t="s">
        <v>366</v>
      </c>
      <c r="D190" s="79" t="s">
        <v>19</v>
      </c>
      <c r="E190" s="68">
        <v>0</v>
      </c>
      <c r="F190" s="68">
        <v>0</v>
      </c>
      <c r="G190" s="68">
        <v>0</v>
      </c>
      <c r="H190" s="68">
        <v>0</v>
      </c>
      <c r="I190" s="68">
        <v>0</v>
      </c>
      <c r="J190" s="68">
        <v>0</v>
      </c>
      <c r="K190" s="68">
        <v>0</v>
      </c>
      <c r="L190" s="68">
        <v>0</v>
      </c>
      <c r="M190" s="68">
        <v>0</v>
      </c>
      <c r="N190" s="68">
        <v>0</v>
      </c>
      <c r="O190" s="68">
        <v>33300</v>
      </c>
      <c r="P190" s="68">
        <v>27500</v>
      </c>
      <c r="Q190" s="68">
        <f>SUM(E190:P190)</f>
        <v>60800</v>
      </c>
      <c r="R190" s="65"/>
    </row>
    <row r="191" spans="1:18" s="66" customFormat="1" ht="30.75">
      <c r="A191" s="67">
        <v>190</v>
      </c>
      <c r="B191" s="78" t="s">
        <v>367</v>
      </c>
      <c r="C191" s="79" t="s">
        <v>23</v>
      </c>
      <c r="D191" s="79" t="s">
        <v>30</v>
      </c>
      <c r="E191" s="68">
        <v>0</v>
      </c>
      <c r="F191" s="68">
        <v>0</v>
      </c>
      <c r="G191" s="68">
        <v>0</v>
      </c>
      <c r="H191" s="68">
        <v>0</v>
      </c>
      <c r="I191" s="68">
        <v>0</v>
      </c>
      <c r="J191" s="68">
        <v>14585</v>
      </c>
      <c r="K191" s="68">
        <v>0</v>
      </c>
      <c r="L191" s="68">
        <v>0</v>
      </c>
      <c r="M191" s="68">
        <v>0</v>
      </c>
      <c r="N191" s="68">
        <v>0</v>
      </c>
      <c r="O191" s="68">
        <v>0</v>
      </c>
      <c r="P191" s="68">
        <v>0</v>
      </c>
      <c r="Q191" s="68">
        <f>SUM(E191:P191)</f>
        <v>14585</v>
      </c>
      <c r="R191" s="65"/>
    </row>
    <row r="192" spans="1:18" s="66" customFormat="1">
      <c r="A192" s="67">
        <v>191</v>
      </c>
      <c r="B192" s="78" t="s">
        <v>368</v>
      </c>
      <c r="C192" s="79" t="s">
        <v>369</v>
      </c>
      <c r="D192" s="79" t="s">
        <v>19</v>
      </c>
      <c r="E192" s="68">
        <v>0</v>
      </c>
      <c r="F192" s="68">
        <v>0</v>
      </c>
      <c r="G192" s="68">
        <v>1930</v>
      </c>
      <c r="H192" s="68">
        <v>0</v>
      </c>
      <c r="I192" s="68">
        <v>0</v>
      </c>
      <c r="J192" s="68">
        <v>0</v>
      </c>
      <c r="K192" s="68">
        <v>0</v>
      </c>
      <c r="L192" s="68">
        <v>0</v>
      </c>
      <c r="M192" s="68">
        <v>0</v>
      </c>
      <c r="N192" s="68">
        <v>0</v>
      </c>
      <c r="O192" s="68">
        <v>0</v>
      </c>
      <c r="P192" s="68" t="s">
        <v>23</v>
      </c>
      <c r="Q192" s="68">
        <f>SUM(E192:P192)</f>
        <v>1930</v>
      </c>
      <c r="R192" s="65"/>
    </row>
    <row r="193" spans="1:18" s="66" customFormat="1">
      <c r="A193" s="67">
        <v>192</v>
      </c>
      <c r="B193" s="78" t="s">
        <v>370</v>
      </c>
      <c r="C193" s="79" t="s">
        <v>371</v>
      </c>
      <c r="D193" s="79" t="s">
        <v>19</v>
      </c>
      <c r="E193" s="68">
        <v>11760</v>
      </c>
      <c r="F193" s="68">
        <v>0</v>
      </c>
      <c r="G193" s="68">
        <v>0</v>
      </c>
      <c r="H193" s="68">
        <v>10500</v>
      </c>
      <c r="I193" s="68">
        <v>0</v>
      </c>
      <c r="J193" s="68">
        <v>0</v>
      </c>
      <c r="K193" s="68">
        <v>0</v>
      </c>
      <c r="L193" s="68">
        <v>0</v>
      </c>
      <c r="M193" s="68">
        <v>0</v>
      </c>
      <c r="N193" s="68">
        <v>0</v>
      </c>
      <c r="O193" s="68">
        <v>0</v>
      </c>
      <c r="P193" s="68">
        <v>0</v>
      </c>
      <c r="Q193" s="68">
        <f>SUM(E193:P193)</f>
        <v>22260</v>
      </c>
      <c r="R193" s="65"/>
    </row>
    <row r="194" spans="1:18" s="66" customFormat="1" ht="30.75">
      <c r="A194" s="67">
        <v>193</v>
      </c>
      <c r="B194" s="78" t="s">
        <v>372</v>
      </c>
      <c r="C194" s="79" t="s">
        <v>373</v>
      </c>
      <c r="D194" s="79" t="s">
        <v>107</v>
      </c>
      <c r="E194" s="68">
        <v>0</v>
      </c>
      <c r="F194" s="68">
        <v>27676</v>
      </c>
      <c r="G194" s="68">
        <v>0</v>
      </c>
      <c r="H194" s="68">
        <v>0</v>
      </c>
      <c r="I194" s="68">
        <v>28560</v>
      </c>
      <c r="J194" s="68">
        <v>0</v>
      </c>
      <c r="K194" s="68">
        <v>0</v>
      </c>
      <c r="L194" s="68">
        <v>0</v>
      </c>
      <c r="M194" s="68">
        <v>0</v>
      </c>
      <c r="N194" s="68">
        <v>0</v>
      </c>
      <c r="O194" s="68">
        <v>0</v>
      </c>
      <c r="P194" s="68">
        <v>0</v>
      </c>
      <c r="Q194" s="68">
        <f>SUM(E194:P194)</f>
        <v>56236</v>
      </c>
      <c r="R194" s="65"/>
    </row>
    <row r="195" spans="1:18" s="66" customFormat="1">
      <c r="A195" s="67">
        <v>194</v>
      </c>
      <c r="B195" s="78" t="s">
        <v>374</v>
      </c>
      <c r="C195" s="79" t="s">
        <v>375</v>
      </c>
      <c r="D195" s="79" t="s">
        <v>19</v>
      </c>
      <c r="E195" s="68">
        <v>0</v>
      </c>
      <c r="F195" s="68">
        <v>0</v>
      </c>
      <c r="G195" s="68">
        <v>0</v>
      </c>
      <c r="H195" s="68">
        <v>0</v>
      </c>
      <c r="I195" s="68">
        <v>0</v>
      </c>
      <c r="J195" s="68">
        <v>0</v>
      </c>
      <c r="K195" s="68">
        <v>0</v>
      </c>
      <c r="L195" s="68">
        <v>0</v>
      </c>
      <c r="M195" s="68">
        <v>0</v>
      </c>
      <c r="N195" s="68">
        <v>0</v>
      </c>
      <c r="O195" s="68">
        <v>710</v>
      </c>
      <c r="P195" s="68">
        <v>0</v>
      </c>
      <c r="Q195" s="68">
        <f>SUM(E195:P195)</f>
        <v>710</v>
      </c>
      <c r="R195" s="65"/>
    </row>
    <row r="196" spans="1:18" s="66" customFormat="1">
      <c r="A196" s="67">
        <v>195</v>
      </c>
      <c r="B196" s="78" t="s">
        <v>376</v>
      </c>
      <c r="C196" s="79" t="s">
        <v>377</v>
      </c>
      <c r="D196" s="79" t="s">
        <v>19</v>
      </c>
      <c r="E196" s="68">
        <v>0</v>
      </c>
      <c r="F196" s="68">
        <v>0</v>
      </c>
      <c r="G196" s="68">
        <v>3375</v>
      </c>
      <c r="H196" s="68">
        <v>0</v>
      </c>
      <c r="I196" s="68">
        <v>0</v>
      </c>
      <c r="J196" s="68">
        <v>8400</v>
      </c>
      <c r="K196" s="68">
        <v>0</v>
      </c>
      <c r="L196" s="68">
        <v>0</v>
      </c>
      <c r="M196" s="68">
        <v>0</v>
      </c>
      <c r="N196" s="68">
        <v>0</v>
      </c>
      <c r="O196" s="68">
        <v>0</v>
      </c>
      <c r="P196" s="68">
        <v>0</v>
      </c>
      <c r="Q196" s="68">
        <f>SUM(E196:P196)</f>
        <v>11775</v>
      </c>
      <c r="R196" s="65"/>
    </row>
    <row r="197" spans="1:18" s="66" customFormat="1">
      <c r="A197" s="67">
        <v>196</v>
      </c>
      <c r="B197" s="78" t="s">
        <v>378</v>
      </c>
      <c r="C197" s="79" t="s">
        <v>379</v>
      </c>
      <c r="D197" s="79" t="s">
        <v>257</v>
      </c>
      <c r="E197" s="68">
        <v>0</v>
      </c>
      <c r="F197" s="68">
        <v>0</v>
      </c>
      <c r="G197" s="68">
        <v>0</v>
      </c>
      <c r="H197" s="68">
        <v>0</v>
      </c>
      <c r="I197" s="68">
        <v>0</v>
      </c>
      <c r="J197" s="68">
        <v>0</v>
      </c>
      <c r="K197" s="68">
        <v>0</v>
      </c>
      <c r="L197" s="68">
        <v>0</v>
      </c>
      <c r="M197" s="68">
        <v>0</v>
      </c>
      <c r="N197" s="68">
        <v>0</v>
      </c>
      <c r="O197" s="68">
        <v>0</v>
      </c>
      <c r="P197" s="68">
        <v>85714.29</v>
      </c>
      <c r="Q197" s="68">
        <f>SUM(E197:P197)</f>
        <v>85714.29</v>
      </c>
      <c r="R197" s="65"/>
    </row>
    <row r="198" spans="1:18" s="66" customFormat="1">
      <c r="A198" s="67">
        <v>197</v>
      </c>
      <c r="B198" s="78" t="s">
        <v>380</v>
      </c>
      <c r="C198" s="79" t="s">
        <v>381</v>
      </c>
      <c r="D198" s="79" t="s">
        <v>19</v>
      </c>
      <c r="E198" s="68">
        <v>0</v>
      </c>
      <c r="F198" s="68">
        <v>0</v>
      </c>
      <c r="G198" s="68">
        <v>0</v>
      </c>
      <c r="H198" s="68">
        <v>0</v>
      </c>
      <c r="I198" s="68">
        <v>0</v>
      </c>
      <c r="J198" s="68">
        <v>0</v>
      </c>
      <c r="K198" s="68">
        <v>0</v>
      </c>
      <c r="L198" s="68">
        <v>8895</v>
      </c>
      <c r="M198" s="68">
        <v>0</v>
      </c>
      <c r="N198" s="68">
        <v>0</v>
      </c>
      <c r="O198" s="68">
        <v>0</v>
      </c>
      <c r="P198" s="68">
        <v>0</v>
      </c>
      <c r="Q198" s="68">
        <f>SUM(E198:P198)</f>
        <v>8895</v>
      </c>
      <c r="R198" s="65"/>
    </row>
    <row r="199" spans="1:18" s="66" customFormat="1">
      <c r="A199" s="67">
        <v>198</v>
      </c>
      <c r="B199" s="78" t="s">
        <v>382</v>
      </c>
      <c r="C199" s="79" t="s">
        <v>23</v>
      </c>
      <c r="D199" s="79" t="s">
        <v>30</v>
      </c>
      <c r="E199" s="68">
        <v>2655</v>
      </c>
      <c r="F199" s="68">
        <v>0</v>
      </c>
      <c r="G199" s="68">
        <v>0</v>
      </c>
      <c r="H199" s="68">
        <v>0</v>
      </c>
      <c r="I199" s="68">
        <v>0</v>
      </c>
      <c r="J199" s="68">
        <v>0</v>
      </c>
      <c r="K199" s="68">
        <v>0</v>
      </c>
      <c r="L199" s="68">
        <v>0</v>
      </c>
      <c r="M199" s="68">
        <v>0</v>
      </c>
      <c r="N199" s="68">
        <v>0</v>
      </c>
      <c r="O199" s="68">
        <v>0</v>
      </c>
      <c r="P199" s="68">
        <v>0</v>
      </c>
      <c r="Q199" s="68">
        <f>SUM(E199:P199)</f>
        <v>2655</v>
      </c>
      <c r="R199" s="65"/>
    </row>
    <row r="200" spans="1:18" s="66" customFormat="1">
      <c r="A200" s="67">
        <v>199</v>
      </c>
      <c r="B200" s="78" t="s">
        <v>383</v>
      </c>
      <c r="C200" s="79" t="s">
        <v>384</v>
      </c>
      <c r="D200" s="79" t="s">
        <v>41</v>
      </c>
      <c r="E200" s="68">
        <v>0</v>
      </c>
      <c r="F200" s="68">
        <v>9140</v>
      </c>
      <c r="G200" s="68">
        <v>0</v>
      </c>
      <c r="H200" s="68">
        <v>0</v>
      </c>
      <c r="I200" s="68">
        <v>0</v>
      </c>
      <c r="J200" s="68">
        <v>0</v>
      </c>
      <c r="K200" s="68">
        <v>0</v>
      </c>
      <c r="L200" s="68">
        <v>0</v>
      </c>
      <c r="M200" s="68">
        <v>0</v>
      </c>
      <c r="N200" s="68">
        <v>0</v>
      </c>
      <c r="O200" s="68">
        <v>0</v>
      </c>
      <c r="P200" s="68" t="s">
        <v>23</v>
      </c>
      <c r="Q200" s="68">
        <f>SUM(E200:P200)</f>
        <v>9140</v>
      </c>
      <c r="R200" s="65"/>
    </row>
    <row r="201" spans="1:18" s="66" customFormat="1">
      <c r="A201" s="67">
        <v>200</v>
      </c>
      <c r="B201" s="78" t="s">
        <v>385</v>
      </c>
      <c r="C201" s="79" t="s">
        <v>386</v>
      </c>
      <c r="D201" s="79" t="s">
        <v>19</v>
      </c>
      <c r="E201" s="68">
        <v>0</v>
      </c>
      <c r="F201" s="68">
        <v>0</v>
      </c>
      <c r="G201" s="68">
        <v>0</v>
      </c>
      <c r="H201" s="68">
        <v>0</v>
      </c>
      <c r="I201" s="68">
        <v>0</v>
      </c>
      <c r="J201" s="68">
        <v>0</v>
      </c>
      <c r="K201" s="68">
        <v>700</v>
      </c>
      <c r="L201" s="68">
        <v>0</v>
      </c>
      <c r="M201" s="68">
        <v>0</v>
      </c>
      <c r="N201" s="68">
        <v>0</v>
      </c>
      <c r="O201" s="68">
        <v>0</v>
      </c>
      <c r="P201" s="68">
        <v>0</v>
      </c>
      <c r="Q201" s="68">
        <f>SUM(E201:P201)</f>
        <v>700</v>
      </c>
      <c r="R201" s="65"/>
    </row>
    <row r="202" spans="1:18" s="66" customFormat="1">
      <c r="A202" s="67">
        <v>201</v>
      </c>
      <c r="B202" s="78" t="s">
        <v>387</v>
      </c>
      <c r="C202" s="79" t="s">
        <v>23</v>
      </c>
      <c r="D202" s="79" t="s">
        <v>30</v>
      </c>
      <c r="E202" s="68">
        <v>0</v>
      </c>
      <c r="F202" s="68">
        <v>0</v>
      </c>
      <c r="G202" s="68">
        <v>0</v>
      </c>
      <c r="H202" s="68">
        <v>0</v>
      </c>
      <c r="I202" s="68">
        <v>0</v>
      </c>
      <c r="J202" s="68">
        <v>0</v>
      </c>
      <c r="K202" s="68">
        <v>0</v>
      </c>
      <c r="L202" s="68">
        <v>0</v>
      </c>
      <c r="M202" s="68">
        <v>0</v>
      </c>
      <c r="N202" s="68">
        <v>0</v>
      </c>
      <c r="O202" s="68">
        <v>0</v>
      </c>
      <c r="P202" s="68">
        <v>42500</v>
      </c>
      <c r="Q202" s="68">
        <f>SUM(E202:P202)</f>
        <v>42500</v>
      </c>
      <c r="R202" s="65"/>
    </row>
    <row r="203" spans="1:18" s="66" customFormat="1">
      <c r="A203" s="67">
        <v>202</v>
      </c>
      <c r="B203" s="78" t="s">
        <v>388</v>
      </c>
      <c r="C203" s="79" t="s">
        <v>389</v>
      </c>
      <c r="D203" s="79" t="s">
        <v>90</v>
      </c>
      <c r="E203" s="68">
        <v>0</v>
      </c>
      <c r="F203" s="68">
        <v>0</v>
      </c>
      <c r="G203" s="68">
        <v>0</v>
      </c>
      <c r="H203" s="68">
        <v>0</v>
      </c>
      <c r="I203" s="68">
        <v>0</v>
      </c>
      <c r="J203" s="68">
        <v>0</v>
      </c>
      <c r="K203" s="68">
        <v>0</v>
      </c>
      <c r="L203" s="68">
        <v>0</v>
      </c>
      <c r="M203" s="68">
        <v>0</v>
      </c>
      <c r="N203" s="68">
        <v>10930</v>
      </c>
      <c r="O203" s="68">
        <v>0</v>
      </c>
      <c r="P203" s="68">
        <v>0</v>
      </c>
      <c r="Q203" s="68">
        <f>SUM(E203:P203)</f>
        <v>10930</v>
      </c>
      <c r="R203" s="65"/>
    </row>
    <row r="204" spans="1:18" s="66" customFormat="1">
      <c r="A204" s="67">
        <v>203</v>
      </c>
      <c r="B204" s="78" t="s">
        <v>388</v>
      </c>
      <c r="C204" s="79" t="s">
        <v>389</v>
      </c>
      <c r="D204" s="79" t="s">
        <v>90</v>
      </c>
      <c r="E204" s="68">
        <v>0</v>
      </c>
      <c r="F204" s="68">
        <v>0</v>
      </c>
      <c r="G204" s="68">
        <v>0</v>
      </c>
      <c r="H204" s="68">
        <v>0</v>
      </c>
      <c r="I204" s="68">
        <v>0</v>
      </c>
      <c r="J204" s="68">
        <v>0</v>
      </c>
      <c r="K204" s="68">
        <v>0</v>
      </c>
      <c r="L204" s="68">
        <v>0</v>
      </c>
      <c r="M204" s="68">
        <v>0</v>
      </c>
      <c r="N204" s="68">
        <v>0</v>
      </c>
      <c r="O204" s="68">
        <v>34700</v>
      </c>
      <c r="P204" s="68">
        <v>0</v>
      </c>
      <c r="Q204" s="68">
        <f>SUM(E204:P204)</f>
        <v>34700</v>
      </c>
      <c r="R204" s="65"/>
    </row>
    <row r="205" spans="1:18" s="66" customFormat="1">
      <c r="A205" s="67">
        <v>204</v>
      </c>
      <c r="B205" s="78" t="s">
        <v>390</v>
      </c>
      <c r="C205" s="79" t="s">
        <v>391</v>
      </c>
      <c r="D205" s="79" t="s">
        <v>28</v>
      </c>
      <c r="E205" s="68">
        <v>0</v>
      </c>
      <c r="F205" s="68">
        <v>0</v>
      </c>
      <c r="G205" s="68">
        <v>0</v>
      </c>
      <c r="H205" s="68">
        <v>12000</v>
      </c>
      <c r="I205" s="68">
        <v>0</v>
      </c>
      <c r="J205" s="68">
        <v>0</v>
      </c>
      <c r="K205" s="68">
        <v>0</v>
      </c>
      <c r="L205" s="68">
        <v>0</v>
      </c>
      <c r="M205" s="68">
        <v>0</v>
      </c>
      <c r="N205" s="68">
        <v>0</v>
      </c>
      <c r="O205" s="68">
        <v>0</v>
      </c>
      <c r="P205" s="68">
        <v>0</v>
      </c>
      <c r="Q205" s="68">
        <f>SUM(E205:P205)</f>
        <v>12000</v>
      </c>
      <c r="R205" s="65"/>
    </row>
    <row r="206" spans="1:18" s="66" customFormat="1" ht="30.75">
      <c r="A206" s="67">
        <v>205</v>
      </c>
      <c r="B206" s="78" t="s">
        <v>392</v>
      </c>
      <c r="C206" s="79" t="s">
        <v>393</v>
      </c>
      <c r="D206" s="79" t="s">
        <v>22</v>
      </c>
      <c r="E206" s="68">
        <v>0</v>
      </c>
      <c r="F206" s="68">
        <v>0</v>
      </c>
      <c r="G206" s="68">
        <v>0</v>
      </c>
      <c r="H206" s="68">
        <v>0</v>
      </c>
      <c r="I206" s="68">
        <v>0</v>
      </c>
      <c r="J206" s="68">
        <v>0</v>
      </c>
      <c r="K206" s="68">
        <v>0</v>
      </c>
      <c r="L206" s="68">
        <v>0</v>
      </c>
      <c r="M206" s="68">
        <v>0</v>
      </c>
      <c r="N206" s="68">
        <v>0</v>
      </c>
      <c r="O206" s="68">
        <v>0</v>
      </c>
      <c r="P206" s="68">
        <v>686850</v>
      </c>
      <c r="Q206" s="68">
        <f>SUM(E206:P206)</f>
        <v>686850</v>
      </c>
      <c r="R206" s="65"/>
    </row>
    <row r="207" spans="1:18" s="66" customFormat="1">
      <c r="A207" s="67">
        <v>206</v>
      </c>
      <c r="B207" s="78" t="s">
        <v>394</v>
      </c>
      <c r="C207" s="79" t="s">
        <v>23</v>
      </c>
      <c r="D207" s="79" t="s">
        <v>30</v>
      </c>
      <c r="E207" s="68">
        <v>0</v>
      </c>
      <c r="F207" s="68">
        <v>0</v>
      </c>
      <c r="G207" s="68">
        <v>0</v>
      </c>
      <c r="H207" s="68">
        <v>0</v>
      </c>
      <c r="I207" s="68">
        <v>1097</v>
      </c>
      <c r="J207" s="68">
        <v>0</v>
      </c>
      <c r="K207" s="68">
        <v>0</v>
      </c>
      <c r="L207" s="68">
        <v>0</v>
      </c>
      <c r="M207" s="68">
        <v>0</v>
      </c>
      <c r="N207" s="68">
        <v>0</v>
      </c>
      <c r="O207" s="68">
        <v>0</v>
      </c>
      <c r="P207" s="68">
        <v>0</v>
      </c>
      <c r="Q207" s="68">
        <f>SUM(E207:P207)</f>
        <v>1097</v>
      </c>
      <c r="R207" s="65"/>
    </row>
    <row r="208" spans="1:18" s="66" customFormat="1">
      <c r="A208" s="67">
        <v>207</v>
      </c>
      <c r="B208" s="78" t="s">
        <v>395</v>
      </c>
      <c r="C208" s="79" t="s">
        <v>396</v>
      </c>
      <c r="D208" s="79" t="s">
        <v>151</v>
      </c>
      <c r="E208" s="68">
        <v>0</v>
      </c>
      <c r="F208" s="68">
        <v>36000</v>
      </c>
      <c r="G208" s="68">
        <v>105000</v>
      </c>
      <c r="H208" s="68">
        <v>105000</v>
      </c>
      <c r="I208" s="68">
        <v>0</v>
      </c>
      <c r="J208" s="68">
        <v>0</v>
      </c>
      <c r="K208" s="68">
        <v>0</v>
      </c>
      <c r="L208" s="68">
        <v>0</v>
      </c>
      <c r="M208" s="68">
        <v>0</v>
      </c>
      <c r="N208" s="68">
        <v>0</v>
      </c>
      <c r="O208" s="68">
        <v>0</v>
      </c>
      <c r="P208" s="68">
        <v>0</v>
      </c>
      <c r="Q208" s="68">
        <f>SUM(E208:P208)</f>
        <v>246000</v>
      </c>
      <c r="R208" s="65"/>
    </row>
    <row r="209" spans="1:18" s="66" customFormat="1">
      <c r="A209" s="67">
        <v>208</v>
      </c>
      <c r="B209" s="78" t="s">
        <v>397</v>
      </c>
      <c r="C209" s="79" t="s">
        <v>23</v>
      </c>
      <c r="D209" s="79" t="s">
        <v>30</v>
      </c>
      <c r="E209" s="68">
        <v>0</v>
      </c>
      <c r="F209" s="68">
        <v>0</v>
      </c>
      <c r="G209" s="68">
        <v>362</v>
      </c>
      <c r="H209" s="68">
        <v>0</v>
      </c>
      <c r="I209" s="68">
        <v>0</v>
      </c>
      <c r="J209" s="68">
        <v>0</v>
      </c>
      <c r="K209" s="68">
        <v>0</v>
      </c>
      <c r="L209" s="68">
        <v>0</v>
      </c>
      <c r="M209" s="68">
        <v>0</v>
      </c>
      <c r="N209" s="68">
        <v>0</v>
      </c>
      <c r="O209" s="68">
        <v>0</v>
      </c>
      <c r="P209" s="68">
        <v>0</v>
      </c>
      <c r="Q209" s="68">
        <f>SUM(E209:P209)</f>
        <v>362</v>
      </c>
      <c r="R209" s="65"/>
    </row>
    <row r="210" spans="1:18" s="66" customFormat="1">
      <c r="A210" s="67">
        <v>209</v>
      </c>
      <c r="B210" s="78" t="s">
        <v>398</v>
      </c>
      <c r="C210" s="79" t="s">
        <v>399</v>
      </c>
      <c r="D210" s="79" t="s">
        <v>55</v>
      </c>
      <c r="E210" s="68">
        <v>0</v>
      </c>
      <c r="F210" s="68">
        <v>77600</v>
      </c>
      <c r="G210" s="68">
        <v>0</v>
      </c>
      <c r="H210" s="68">
        <v>0</v>
      </c>
      <c r="I210" s="68">
        <v>0</v>
      </c>
      <c r="J210" s="68">
        <v>169170</v>
      </c>
      <c r="K210" s="68">
        <v>139264</v>
      </c>
      <c r="L210" s="68">
        <v>0</v>
      </c>
      <c r="M210" s="68">
        <v>0</v>
      </c>
      <c r="N210" s="68">
        <v>0</v>
      </c>
      <c r="O210" s="68">
        <v>0</v>
      </c>
      <c r="P210" s="68">
        <v>0</v>
      </c>
      <c r="Q210" s="68">
        <f>SUM(E210:P210)</f>
        <v>386034</v>
      </c>
      <c r="R210" s="65"/>
    </row>
    <row r="211" spans="1:18" s="66" customFormat="1" ht="30.75">
      <c r="A211" s="67">
        <v>210</v>
      </c>
      <c r="B211" s="78" t="s">
        <v>400</v>
      </c>
      <c r="C211" s="79" t="s">
        <v>401</v>
      </c>
      <c r="D211" s="79" t="s">
        <v>55</v>
      </c>
      <c r="E211" s="68">
        <v>0</v>
      </c>
      <c r="F211" s="68">
        <v>0</v>
      </c>
      <c r="G211" s="68">
        <v>0</v>
      </c>
      <c r="H211" s="68">
        <v>0</v>
      </c>
      <c r="I211" s="68">
        <v>0</v>
      </c>
      <c r="J211" s="68">
        <v>0</v>
      </c>
      <c r="K211" s="68">
        <v>0</v>
      </c>
      <c r="L211" s="68">
        <v>346890</v>
      </c>
      <c r="M211" s="68">
        <v>40000</v>
      </c>
      <c r="N211" s="68">
        <v>0</v>
      </c>
      <c r="O211" s="68">
        <v>87000</v>
      </c>
      <c r="P211" s="68">
        <v>0</v>
      </c>
      <c r="Q211" s="68">
        <f>SUM(E211:P211)</f>
        <v>473890</v>
      </c>
      <c r="R211" s="65"/>
    </row>
    <row r="212" spans="1:18" s="66" customFormat="1">
      <c r="A212" s="67">
        <v>211</v>
      </c>
      <c r="B212" s="78" t="s">
        <v>402</v>
      </c>
      <c r="C212" s="79" t="s">
        <v>403</v>
      </c>
      <c r="D212" s="79" t="s">
        <v>19</v>
      </c>
      <c r="E212" s="68">
        <v>1602</v>
      </c>
      <c r="F212" s="68">
        <v>3600</v>
      </c>
      <c r="G212" s="68">
        <v>5720</v>
      </c>
      <c r="H212" s="68">
        <v>1430</v>
      </c>
      <c r="I212" s="68">
        <v>10950</v>
      </c>
      <c r="J212" s="68">
        <v>0</v>
      </c>
      <c r="K212" s="68">
        <v>3000</v>
      </c>
      <c r="L212" s="68">
        <v>13300</v>
      </c>
      <c r="M212" s="68">
        <v>7900</v>
      </c>
      <c r="N212" s="68">
        <v>0</v>
      </c>
      <c r="O212" s="68">
        <v>0</v>
      </c>
      <c r="P212" s="68">
        <v>0</v>
      </c>
      <c r="Q212" s="68">
        <f>SUM(E212:P212)</f>
        <v>47502</v>
      </c>
      <c r="R212" s="65"/>
    </row>
    <row r="213" spans="1:18" s="66" customFormat="1">
      <c r="A213" s="67">
        <v>212</v>
      </c>
      <c r="B213" s="78" t="s">
        <v>404</v>
      </c>
      <c r="C213" s="79" t="s">
        <v>405</v>
      </c>
      <c r="D213" s="79" t="s">
        <v>19</v>
      </c>
      <c r="E213" s="68">
        <v>0</v>
      </c>
      <c r="F213" s="68">
        <v>0</v>
      </c>
      <c r="G213" s="68">
        <v>0</v>
      </c>
      <c r="H213" s="68">
        <v>0</v>
      </c>
      <c r="I213" s="68">
        <v>0</v>
      </c>
      <c r="J213" s="68">
        <v>3120</v>
      </c>
      <c r="K213" s="68">
        <v>0</v>
      </c>
      <c r="L213" s="68">
        <v>0</v>
      </c>
      <c r="M213" s="68">
        <v>0</v>
      </c>
      <c r="N213" s="68">
        <v>0</v>
      </c>
      <c r="O213" s="68">
        <v>0</v>
      </c>
      <c r="P213" s="68">
        <v>0</v>
      </c>
      <c r="Q213" s="68">
        <f>SUM(E213:P213)</f>
        <v>3120</v>
      </c>
      <c r="R213" s="65"/>
    </row>
    <row r="214" spans="1:18" s="66" customFormat="1">
      <c r="A214" s="67">
        <v>213</v>
      </c>
      <c r="B214" s="78" t="s">
        <v>406</v>
      </c>
      <c r="C214" s="79" t="s">
        <v>407</v>
      </c>
      <c r="D214" s="79" t="s">
        <v>90</v>
      </c>
      <c r="E214" s="68">
        <v>0</v>
      </c>
      <c r="F214" s="68">
        <v>0</v>
      </c>
      <c r="G214" s="68">
        <v>0</v>
      </c>
      <c r="H214" s="68">
        <v>0</v>
      </c>
      <c r="I214" s="68">
        <v>5900</v>
      </c>
      <c r="J214" s="68">
        <v>0</v>
      </c>
      <c r="K214" s="68">
        <v>9900</v>
      </c>
      <c r="L214" s="68">
        <v>0</v>
      </c>
      <c r="M214" s="68">
        <v>0</v>
      </c>
      <c r="N214" s="68">
        <v>21900</v>
      </c>
      <c r="O214" s="68">
        <v>0</v>
      </c>
      <c r="P214" s="68">
        <v>0</v>
      </c>
      <c r="Q214" s="68">
        <f>SUM(E214:P214)</f>
        <v>37700</v>
      </c>
      <c r="R214" s="65"/>
    </row>
    <row r="215" spans="1:18" s="66" customFormat="1">
      <c r="A215" s="67">
        <v>214</v>
      </c>
      <c r="B215" s="78" t="s">
        <v>408</v>
      </c>
      <c r="C215" s="79" t="s">
        <v>409</v>
      </c>
      <c r="D215" s="79" t="s">
        <v>90</v>
      </c>
      <c r="E215" s="68">
        <v>0</v>
      </c>
      <c r="F215" s="68">
        <v>0</v>
      </c>
      <c r="G215" s="68">
        <v>0</v>
      </c>
      <c r="H215" s="68">
        <v>0</v>
      </c>
      <c r="I215" s="68">
        <v>0</v>
      </c>
      <c r="J215" s="68">
        <v>0</v>
      </c>
      <c r="K215" s="68">
        <v>39000</v>
      </c>
      <c r="L215" s="68">
        <v>0</v>
      </c>
      <c r="M215" s="68">
        <v>0</v>
      </c>
      <c r="N215" s="68">
        <v>0</v>
      </c>
      <c r="O215" s="68">
        <v>0</v>
      </c>
      <c r="P215" s="68">
        <v>41250</v>
      </c>
      <c r="Q215" s="68">
        <f>SUM(E215:P215)</f>
        <v>80250</v>
      </c>
      <c r="R215" s="65"/>
    </row>
    <row r="216" spans="1:18" s="66" customFormat="1">
      <c r="A216" s="67">
        <v>215</v>
      </c>
      <c r="B216" s="78" t="s">
        <v>410</v>
      </c>
      <c r="C216" s="79" t="s">
        <v>411</v>
      </c>
      <c r="D216" s="79" t="s">
        <v>177</v>
      </c>
      <c r="E216" s="68">
        <v>4095</v>
      </c>
      <c r="F216" s="68">
        <v>0</v>
      </c>
      <c r="G216" s="68">
        <v>3900</v>
      </c>
      <c r="H216" s="68">
        <v>0</v>
      </c>
      <c r="I216" s="68">
        <v>10900</v>
      </c>
      <c r="J216" s="68">
        <v>0</v>
      </c>
      <c r="K216" s="68">
        <v>0</v>
      </c>
      <c r="L216" s="68">
        <v>0</v>
      </c>
      <c r="M216" s="68">
        <v>0</v>
      </c>
      <c r="N216" s="68">
        <v>0</v>
      </c>
      <c r="O216" s="68">
        <v>0</v>
      </c>
      <c r="P216" s="68">
        <v>0</v>
      </c>
      <c r="Q216" s="68">
        <f>SUM(E216:P216)</f>
        <v>18895</v>
      </c>
      <c r="R216" s="65"/>
    </row>
    <row r="217" spans="1:18" s="66" customFormat="1">
      <c r="A217" s="67">
        <v>216</v>
      </c>
      <c r="B217" s="78" t="s">
        <v>412</v>
      </c>
      <c r="C217" s="79" t="s">
        <v>413</v>
      </c>
      <c r="D217" s="79" t="s">
        <v>19</v>
      </c>
      <c r="E217" s="68">
        <v>0</v>
      </c>
      <c r="F217" s="68">
        <v>0</v>
      </c>
      <c r="G217" s="68">
        <v>0</v>
      </c>
      <c r="H217" s="68">
        <v>11700</v>
      </c>
      <c r="I217" s="68">
        <v>0</v>
      </c>
      <c r="J217" s="68">
        <v>0</v>
      </c>
      <c r="K217" s="68">
        <v>0</v>
      </c>
      <c r="L217" s="68">
        <v>0</v>
      </c>
      <c r="M217" s="68">
        <v>0</v>
      </c>
      <c r="N217" s="68">
        <v>0</v>
      </c>
      <c r="O217" s="68">
        <v>0</v>
      </c>
      <c r="P217" s="68">
        <v>11700</v>
      </c>
      <c r="Q217" s="68">
        <f>SUM(E217:P217)</f>
        <v>23400</v>
      </c>
      <c r="R217" s="65"/>
    </row>
    <row r="218" spans="1:18" s="66" customFormat="1">
      <c r="A218" s="67">
        <v>217</v>
      </c>
      <c r="B218" s="78" t="s">
        <v>414</v>
      </c>
      <c r="C218" s="79" t="s">
        <v>415</v>
      </c>
      <c r="D218" s="79" t="s">
        <v>90</v>
      </c>
      <c r="E218" s="68">
        <v>0</v>
      </c>
      <c r="F218" s="68">
        <v>0</v>
      </c>
      <c r="G218" s="68">
        <v>0</v>
      </c>
      <c r="H218" s="68">
        <v>7426</v>
      </c>
      <c r="I218" s="68">
        <v>0</v>
      </c>
      <c r="J218" s="68">
        <v>1648</v>
      </c>
      <c r="K218" s="68">
        <v>8446.5</v>
      </c>
      <c r="L218" s="68">
        <v>5365.5</v>
      </c>
      <c r="M218" s="68">
        <v>0</v>
      </c>
      <c r="N218" s="68">
        <v>0</v>
      </c>
      <c r="O218" s="68">
        <v>0</v>
      </c>
      <c r="P218" s="68">
        <v>0</v>
      </c>
      <c r="Q218" s="68">
        <f>SUM(E218:P218)</f>
        <v>22886</v>
      </c>
      <c r="R218" s="65"/>
    </row>
    <row r="219" spans="1:18" s="66" customFormat="1">
      <c r="A219" s="67">
        <v>218</v>
      </c>
      <c r="B219" s="78" t="s">
        <v>416</v>
      </c>
      <c r="C219" s="79" t="s">
        <v>417</v>
      </c>
      <c r="D219" s="79" t="s">
        <v>28</v>
      </c>
      <c r="E219" s="68">
        <v>0</v>
      </c>
      <c r="F219" s="68">
        <v>0</v>
      </c>
      <c r="G219" s="68">
        <v>0</v>
      </c>
      <c r="H219" s="68">
        <v>0</v>
      </c>
      <c r="I219" s="68">
        <v>0</v>
      </c>
      <c r="J219" s="68">
        <v>0</v>
      </c>
      <c r="K219" s="68">
        <v>34500</v>
      </c>
      <c r="L219" s="68">
        <v>0</v>
      </c>
      <c r="M219" s="68">
        <v>66000</v>
      </c>
      <c r="N219" s="68">
        <v>0</v>
      </c>
      <c r="O219" s="68">
        <v>0</v>
      </c>
      <c r="P219" s="68">
        <v>0</v>
      </c>
      <c r="Q219" s="68">
        <f>SUM(E219:P219)</f>
        <v>100500</v>
      </c>
      <c r="R219" s="65"/>
    </row>
    <row r="220" spans="1:18" s="66" customFormat="1">
      <c r="A220" s="67">
        <v>219</v>
      </c>
      <c r="B220" s="78" t="s">
        <v>418</v>
      </c>
      <c r="C220" s="79" t="s">
        <v>23</v>
      </c>
      <c r="D220" s="79" t="s">
        <v>30</v>
      </c>
      <c r="E220" s="68">
        <v>30230</v>
      </c>
      <c r="F220" s="68">
        <v>37895</v>
      </c>
      <c r="G220" s="68">
        <v>0</v>
      </c>
      <c r="H220" s="68">
        <v>0</v>
      </c>
      <c r="I220" s="68">
        <v>0</v>
      </c>
      <c r="J220" s="68">
        <v>0</v>
      </c>
      <c r="K220" s="68">
        <v>0</v>
      </c>
      <c r="L220" s="68">
        <v>12960</v>
      </c>
      <c r="M220" s="68">
        <v>0</v>
      </c>
      <c r="N220" s="68">
        <v>19000</v>
      </c>
      <c r="O220" s="68">
        <v>0</v>
      </c>
      <c r="P220" s="68">
        <v>0</v>
      </c>
      <c r="Q220" s="68">
        <f>SUM(E220:P220)</f>
        <v>100085</v>
      </c>
      <c r="R220" s="65"/>
    </row>
    <row r="221" spans="1:18" s="66" customFormat="1" ht="30.75">
      <c r="A221" s="67">
        <v>220</v>
      </c>
      <c r="B221" s="78" t="s">
        <v>419</v>
      </c>
      <c r="C221" s="79" t="s">
        <v>420</v>
      </c>
      <c r="D221" s="79" t="s">
        <v>257</v>
      </c>
      <c r="E221" s="68" t="s">
        <v>23</v>
      </c>
      <c r="F221" s="68" t="s">
        <v>23</v>
      </c>
      <c r="G221" s="68" t="s">
        <v>23</v>
      </c>
      <c r="H221" s="68" t="s">
        <v>23</v>
      </c>
      <c r="I221" s="68" t="s">
        <v>23</v>
      </c>
      <c r="J221" s="68" t="s">
        <v>23</v>
      </c>
      <c r="K221" s="68" t="s">
        <v>23</v>
      </c>
      <c r="L221" s="68" t="s">
        <v>23</v>
      </c>
      <c r="M221" s="68" t="s">
        <v>23</v>
      </c>
      <c r="N221" s="68" t="s">
        <v>23</v>
      </c>
      <c r="O221" s="68" t="s">
        <v>23</v>
      </c>
      <c r="P221" s="68">
        <v>19000</v>
      </c>
      <c r="Q221" s="68">
        <f>SUM(E221:P221)</f>
        <v>19000</v>
      </c>
      <c r="R221" s="65"/>
    </row>
    <row r="222" spans="1:18" s="66" customFormat="1">
      <c r="A222" s="67">
        <v>221</v>
      </c>
      <c r="B222" s="78" t="s">
        <v>421</v>
      </c>
      <c r="C222" s="79" t="s">
        <v>422</v>
      </c>
      <c r="D222" s="79" t="s">
        <v>90</v>
      </c>
      <c r="E222" s="68">
        <v>0</v>
      </c>
      <c r="F222" s="68">
        <v>0</v>
      </c>
      <c r="G222" s="68">
        <v>0</v>
      </c>
      <c r="H222" s="68">
        <v>0</v>
      </c>
      <c r="I222" s="68">
        <v>0</v>
      </c>
      <c r="J222" s="68">
        <v>0</v>
      </c>
      <c r="K222" s="68">
        <v>0</v>
      </c>
      <c r="L222" s="68">
        <v>0</v>
      </c>
      <c r="M222" s="68">
        <v>54200</v>
      </c>
      <c r="N222" s="68">
        <v>84165</v>
      </c>
      <c r="O222" s="68">
        <v>40800</v>
      </c>
      <c r="P222" s="68">
        <v>33300</v>
      </c>
      <c r="Q222" s="68">
        <f>SUM(E222:P222)</f>
        <v>212465</v>
      </c>
      <c r="R222" s="65"/>
    </row>
    <row r="223" spans="1:18" s="66" customFormat="1">
      <c r="A223" s="67">
        <v>222</v>
      </c>
      <c r="B223" s="78" t="s">
        <v>423</v>
      </c>
      <c r="C223" s="79" t="s">
        <v>23</v>
      </c>
      <c r="D223" s="79" t="s">
        <v>30</v>
      </c>
      <c r="E223" s="68">
        <v>0</v>
      </c>
      <c r="F223" s="68">
        <v>0</v>
      </c>
      <c r="G223" s="68">
        <v>0</v>
      </c>
      <c r="H223" s="68">
        <v>0</v>
      </c>
      <c r="I223" s="68">
        <v>0</v>
      </c>
      <c r="J223" s="68">
        <v>0</v>
      </c>
      <c r="K223" s="68">
        <v>0</v>
      </c>
      <c r="L223" s="68">
        <v>4000</v>
      </c>
      <c r="M223" s="68">
        <v>0</v>
      </c>
      <c r="N223" s="68">
        <v>0</v>
      </c>
      <c r="O223" s="68">
        <v>0</v>
      </c>
      <c r="P223" s="68">
        <v>0</v>
      </c>
      <c r="Q223" s="68">
        <f>SUM(E223:P223)</f>
        <v>4000</v>
      </c>
      <c r="R223" s="65"/>
    </row>
    <row r="224" spans="1:18" s="66" customFormat="1">
      <c r="A224" s="67">
        <v>223</v>
      </c>
      <c r="B224" s="78" t="s">
        <v>424</v>
      </c>
      <c r="C224" s="79" t="s">
        <v>425</v>
      </c>
      <c r="D224" s="79" t="s">
        <v>257</v>
      </c>
      <c r="E224" s="68">
        <v>0</v>
      </c>
      <c r="F224" s="68">
        <v>0</v>
      </c>
      <c r="G224" s="68">
        <v>0</v>
      </c>
      <c r="H224" s="68">
        <v>0</v>
      </c>
      <c r="I224" s="68">
        <v>0</v>
      </c>
      <c r="J224" s="68">
        <v>125947</v>
      </c>
      <c r="K224" s="68">
        <v>0</v>
      </c>
      <c r="L224" s="68">
        <v>0</v>
      </c>
      <c r="M224" s="68">
        <v>0</v>
      </c>
      <c r="N224" s="68">
        <v>0</v>
      </c>
      <c r="O224" s="68">
        <v>0</v>
      </c>
      <c r="P224" s="68">
        <v>0</v>
      </c>
      <c r="Q224" s="68">
        <f>SUM(E224:P224)</f>
        <v>125947</v>
      </c>
      <c r="R224" s="65"/>
    </row>
    <row r="225" spans="1:18" s="66" customFormat="1">
      <c r="A225" s="67">
        <v>224</v>
      </c>
      <c r="B225" s="78" t="s">
        <v>426</v>
      </c>
      <c r="C225" s="79" t="s">
        <v>23</v>
      </c>
      <c r="D225" s="79" t="s">
        <v>30</v>
      </c>
      <c r="E225" s="68">
        <v>0</v>
      </c>
      <c r="F225" s="68">
        <v>0</v>
      </c>
      <c r="G225" s="68">
        <v>0</v>
      </c>
      <c r="H225" s="68">
        <v>5200</v>
      </c>
      <c r="I225" s="68">
        <v>0</v>
      </c>
      <c r="J225" s="68">
        <v>31200</v>
      </c>
      <c r="K225" s="68">
        <v>0</v>
      </c>
      <c r="L225" s="68">
        <v>0</v>
      </c>
      <c r="M225" s="68">
        <v>0</v>
      </c>
      <c r="N225" s="68">
        <v>0</v>
      </c>
      <c r="O225" s="68">
        <v>0</v>
      </c>
      <c r="P225" s="68">
        <v>0</v>
      </c>
      <c r="Q225" s="68">
        <f>SUM(E225:P225)</f>
        <v>36400</v>
      </c>
      <c r="R225" s="65"/>
    </row>
    <row r="226" spans="1:18" s="66" customFormat="1">
      <c r="A226" s="67">
        <v>225</v>
      </c>
      <c r="B226" s="78" t="s">
        <v>427</v>
      </c>
      <c r="C226" s="79" t="s">
        <v>428</v>
      </c>
      <c r="D226" s="79" t="s">
        <v>135</v>
      </c>
      <c r="E226" s="68">
        <v>55335</v>
      </c>
      <c r="F226" s="68">
        <v>28200</v>
      </c>
      <c r="G226" s="68">
        <v>0</v>
      </c>
      <c r="H226" s="68">
        <v>0</v>
      </c>
      <c r="I226" s="68">
        <v>38250</v>
      </c>
      <c r="J226" s="68">
        <v>106000</v>
      </c>
      <c r="K226" s="68">
        <v>0</v>
      </c>
      <c r="L226" s="68">
        <v>42857</v>
      </c>
      <c r="M226" s="68">
        <v>101250</v>
      </c>
      <c r="N226" s="68">
        <v>52500</v>
      </c>
      <c r="O226" s="68">
        <v>0</v>
      </c>
      <c r="P226" s="68">
        <v>0</v>
      </c>
      <c r="Q226" s="68">
        <f>SUM(E226:P226)</f>
        <v>424392</v>
      </c>
      <c r="R226" s="65"/>
    </row>
    <row r="227" spans="1:18" s="66" customFormat="1">
      <c r="A227" s="67">
        <v>226</v>
      </c>
      <c r="B227" s="78" t="s">
        <v>429</v>
      </c>
      <c r="C227" s="79" t="s">
        <v>430</v>
      </c>
      <c r="D227" s="79" t="s">
        <v>22</v>
      </c>
      <c r="E227" s="68">
        <v>0</v>
      </c>
      <c r="F227" s="68">
        <v>0</v>
      </c>
      <c r="G227" s="68">
        <v>24100</v>
      </c>
      <c r="H227" s="68">
        <v>16600</v>
      </c>
      <c r="I227" s="68">
        <v>0</v>
      </c>
      <c r="J227" s="68">
        <v>0</v>
      </c>
      <c r="K227" s="68">
        <v>0</v>
      </c>
      <c r="L227" s="68">
        <v>0</v>
      </c>
      <c r="M227" s="68">
        <v>0</v>
      </c>
      <c r="N227" s="68">
        <v>0</v>
      </c>
      <c r="O227" s="68">
        <v>0</v>
      </c>
      <c r="P227" s="68">
        <v>0</v>
      </c>
      <c r="Q227" s="68">
        <f>SUM(E227:P227)</f>
        <v>40700</v>
      </c>
      <c r="R227" s="65"/>
    </row>
    <row r="228" spans="1:18" s="66" customFormat="1">
      <c r="A228" s="67">
        <v>227</v>
      </c>
      <c r="B228" s="78" t="s">
        <v>431</v>
      </c>
      <c r="C228" s="79" t="s">
        <v>432</v>
      </c>
      <c r="D228" s="79" t="s">
        <v>433</v>
      </c>
      <c r="E228" s="68">
        <v>0</v>
      </c>
      <c r="F228" s="68">
        <v>0</v>
      </c>
      <c r="G228" s="68">
        <v>0</v>
      </c>
      <c r="H228" s="68">
        <v>0</v>
      </c>
      <c r="I228" s="68">
        <v>0</v>
      </c>
      <c r="J228" s="68">
        <v>0</v>
      </c>
      <c r="K228" s="68">
        <v>0</v>
      </c>
      <c r="L228" s="68">
        <v>0</v>
      </c>
      <c r="M228" s="68">
        <v>7200</v>
      </c>
      <c r="N228" s="68">
        <v>0</v>
      </c>
      <c r="O228" s="68">
        <v>7800</v>
      </c>
      <c r="P228" s="68">
        <v>0</v>
      </c>
      <c r="Q228" s="68">
        <f>SUM(E228:P228)</f>
        <v>15000</v>
      </c>
      <c r="R228" s="65"/>
    </row>
    <row r="229" spans="1:18" s="66" customFormat="1">
      <c r="A229" s="67">
        <v>228</v>
      </c>
      <c r="B229" s="78" t="s">
        <v>434</v>
      </c>
      <c r="C229" s="79" t="s">
        <v>435</v>
      </c>
      <c r="D229" s="79" t="s">
        <v>19</v>
      </c>
      <c r="E229" s="68">
        <v>0</v>
      </c>
      <c r="F229" s="68">
        <v>5500</v>
      </c>
      <c r="G229" s="68">
        <v>0</v>
      </c>
      <c r="H229" s="68">
        <v>0</v>
      </c>
      <c r="I229" s="68">
        <v>2375</v>
      </c>
      <c r="J229" s="68">
        <v>0</v>
      </c>
      <c r="K229" s="68">
        <v>0</v>
      </c>
      <c r="L229" s="68">
        <v>0</v>
      </c>
      <c r="M229" s="68">
        <v>0</v>
      </c>
      <c r="N229" s="68">
        <v>0</v>
      </c>
      <c r="O229" s="68">
        <v>0</v>
      </c>
      <c r="P229" s="68">
        <v>0</v>
      </c>
      <c r="Q229" s="68">
        <f>SUM(E229:P229)</f>
        <v>7875</v>
      </c>
      <c r="R229" s="65"/>
    </row>
    <row r="230" spans="1:18" s="66" customFormat="1">
      <c r="A230" s="67">
        <v>229</v>
      </c>
      <c r="B230" s="78" t="s">
        <v>436</v>
      </c>
      <c r="C230" s="79" t="s">
        <v>437</v>
      </c>
      <c r="D230" s="79" t="s">
        <v>177</v>
      </c>
      <c r="E230" s="68">
        <v>0</v>
      </c>
      <c r="F230" s="68">
        <v>0</v>
      </c>
      <c r="G230" s="68">
        <v>0</v>
      </c>
      <c r="H230" s="68">
        <v>11165</v>
      </c>
      <c r="I230" s="68">
        <v>0</v>
      </c>
      <c r="J230" s="68">
        <v>2745</v>
      </c>
      <c r="K230" s="68">
        <v>0</v>
      </c>
      <c r="L230" s="68">
        <v>0</v>
      </c>
      <c r="M230" s="68">
        <v>0</v>
      </c>
      <c r="N230" s="68">
        <v>0</v>
      </c>
      <c r="O230" s="68">
        <v>5593</v>
      </c>
      <c r="P230" s="68">
        <v>0</v>
      </c>
      <c r="Q230" s="68">
        <f>SUM(E230:P230)</f>
        <v>19503</v>
      </c>
      <c r="R230" s="65"/>
    </row>
    <row r="231" spans="1:18" s="66" customFormat="1" ht="30.75">
      <c r="A231" s="67">
        <v>230</v>
      </c>
      <c r="B231" s="78" t="s">
        <v>438</v>
      </c>
      <c r="C231" s="79" t="s">
        <v>439</v>
      </c>
      <c r="D231" s="79" t="s">
        <v>19</v>
      </c>
      <c r="E231" s="68">
        <v>0</v>
      </c>
      <c r="F231" s="68">
        <v>0</v>
      </c>
      <c r="G231" s="68">
        <v>0</v>
      </c>
      <c r="H231" s="68">
        <v>0</v>
      </c>
      <c r="I231" s="68">
        <v>0</v>
      </c>
      <c r="J231" s="68">
        <v>11303</v>
      </c>
      <c r="K231" s="68">
        <v>0</v>
      </c>
      <c r="L231" s="68">
        <v>0</v>
      </c>
      <c r="M231" s="68">
        <v>0</v>
      </c>
      <c r="N231" s="68">
        <v>0</v>
      </c>
      <c r="O231" s="68">
        <v>0</v>
      </c>
      <c r="P231" s="68">
        <v>0</v>
      </c>
      <c r="Q231" s="68">
        <f>SUM(E231:P231)</f>
        <v>11303</v>
      </c>
      <c r="R231" s="65"/>
    </row>
    <row r="232" spans="1:18" s="66" customFormat="1">
      <c r="A232" s="67">
        <v>231</v>
      </c>
      <c r="B232" s="78" t="s">
        <v>440</v>
      </c>
      <c r="C232" s="79" t="s">
        <v>441</v>
      </c>
      <c r="D232" s="79" t="s">
        <v>19</v>
      </c>
      <c r="E232" s="68">
        <v>15300</v>
      </c>
      <c r="F232" s="68">
        <v>6240</v>
      </c>
      <c r="G232" s="68">
        <v>0</v>
      </c>
      <c r="H232" s="68">
        <v>0</v>
      </c>
      <c r="I232" s="68">
        <v>0</v>
      </c>
      <c r="J232" s="68">
        <v>8840</v>
      </c>
      <c r="K232" s="68">
        <v>0</v>
      </c>
      <c r="L232" s="68">
        <v>1523</v>
      </c>
      <c r="M232" s="68">
        <v>0</v>
      </c>
      <c r="N232" s="68">
        <v>3600</v>
      </c>
      <c r="O232" s="68">
        <v>0</v>
      </c>
      <c r="P232" s="68">
        <v>0</v>
      </c>
      <c r="Q232" s="68">
        <f>SUM(E232:P232)</f>
        <v>35503</v>
      </c>
      <c r="R232" s="65"/>
    </row>
    <row r="233" spans="1:18" s="66" customFormat="1">
      <c r="A233" s="67">
        <v>232</v>
      </c>
      <c r="B233" s="78" t="s">
        <v>442</v>
      </c>
      <c r="C233" s="79" t="s">
        <v>443</v>
      </c>
      <c r="D233" s="79" t="s">
        <v>19</v>
      </c>
      <c r="E233" s="68">
        <v>281344</v>
      </c>
      <c r="F233" s="68">
        <v>0</v>
      </c>
      <c r="G233" s="68">
        <v>241500</v>
      </c>
      <c r="H233" s="68">
        <v>0</v>
      </c>
      <c r="I233" s="68">
        <v>231500</v>
      </c>
      <c r="J233" s="68">
        <v>80000</v>
      </c>
      <c r="K233" s="68">
        <v>0</v>
      </c>
      <c r="L233" s="68">
        <v>77900</v>
      </c>
      <c r="M233" s="68">
        <v>0</v>
      </c>
      <c r="N233" s="68">
        <v>33660</v>
      </c>
      <c r="O233" s="68">
        <v>0</v>
      </c>
      <c r="P233" s="68">
        <v>0</v>
      </c>
      <c r="Q233" s="68">
        <f>SUM(E233:P233)</f>
        <v>945904</v>
      </c>
      <c r="R233" s="65"/>
    </row>
    <row r="234" spans="1:18" s="66" customFormat="1">
      <c r="A234" s="67">
        <v>233</v>
      </c>
      <c r="B234" s="78" t="s">
        <v>444</v>
      </c>
      <c r="C234" s="79" t="s">
        <v>445</v>
      </c>
      <c r="D234" s="79" t="s">
        <v>104</v>
      </c>
      <c r="E234" s="68">
        <v>0</v>
      </c>
      <c r="F234" s="68">
        <v>0</v>
      </c>
      <c r="G234" s="68">
        <v>0</v>
      </c>
      <c r="H234" s="68">
        <v>0</v>
      </c>
      <c r="I234" s="68">
        <v>0</v>
      </c>
      <c r="J234" s="68">
        <v>0</v>
      </c>
      <c r="K234" s="68">
        <v>0</v>
      </c>
      <c r="L234" s="68">
        <v>0</v>
      </c>
      <c r="M234" s="68">
        <v>5735</v>
      </c>
      <c r="N234" s="68">
        <v>0</v>
      </c>
      <c r="O234" s="68">
        <v>0</v>
      </c>
      <c r="P234" s="68">
        <v>0</v>
      </c>
      <c r="Q234" s="68">
        <f>SUM(E234:P234)</f>
        <v>5735</v>
      </c>
      <c r="R234" s="65"/>
    </row>
    <row r="235" spans="1:18" s="66" customFormat="1">
      <c r="A235" s="67">
        <v>234</v>
      </c>
      <c r="B235" s="78" t="s">
        <v>446</v>
      </c>
      <c r="C235" s="79" t="s">
        <v>447</v>
      </c>
      <c r="D235" s="79" t="s">
        <v>177</v>
      </c>
      <c r="E235" s="68">
        <v>0</v>
      </c>
      <c r="F235" s="68">
        <v>0</v>
      </c>
      <c r="G235" s="68">
        <v>2100</v>
      </c>
      <c r="H235" s="68">
        <v>0</v>
      </c>
      <c r="I235" s="68">
        <v>8200</v>
      </c>
      <c r="J235" s="68">
        <v>13000</v>
      </c>
      <c r="K235" s="68">
        <v>10700</v>
      </c>
      <c r="L235" s="68">
        <v>4090</v>
      </c>
      <c r="M235" s="68">
        <v>13000</v>
      </c>
      <c r="N235" s="68">
        <v>0</v>
      </c>
      <c r="O235" s="68">
        <v>7325</v>
      </c>
      <c r="P235" s="68">
        <v>0</v>
      </c>
      <c r="Q235" s="68">
        <f>SUM(E235:P235)</f>
        <v>58415</v>
      </c>
      <c r="R235" s="65"/>
    </row>
    <row r="236" spans="1:18" s="66" customFormat="1">
      <c r="A236" s="67">
        <v>235</v>
      </c>
      <c r="B236" s="78" t="s">
        <v>448</v>
      </c>
      <c r="C236" s="79" t="s">
        <v>23</v>
      </c>
      <c r="D236" s="79" t="s">
        <v>30</v>
      </c>
      <c r="E236" s="68">
        <v>0</v>
      </c>
      <c r="F236" s="68">
        <v>0</v>
      </c>
      <c r="G236" s="68">
        <v>0</v>
      </c>
      <c r="H236" s="68">
        <v>0</v>
      </c>
      <c r="I236" s="68">
        <v>0</v>
      </c>
      <c r="J236" s="68">
        <v>0</v>
      </c>
      <c r="K236" s="68">
        <v>0</v>
      </c>
      <c r="L236" s="68">
        <v>0</v>
      </c>
      <c r="M236" s="68">
        <v>0</v>
      </c>
      <c r="N236" s="68">
        <v>0</v>
      </c>
      <c r="O236" s="68">
        <v>0</v>
      </c>
      <c r="P236" s="68">
        <v>550</v>
      </c>
      <c r="Q236" s="68">
        <f>SUM(E236:P236)</f>
        <v>550</v>
      </c>
      <c r="R236" s="65"/>
    </row>
    <row r="237" spans="1:18" s="66" customFormat="1">
      <c r="A237" s="67">
        <v>236</v>
      </c>
      <c r="B237" s="78" t="s">
        <v>449</v>
      </c>
      <c r="C237" s="79" t="s">
        <v>450</v>
      </c>
      <c r="D237" s="79" t="s">
        <v>90</v>
      </c>
      <c r="E237" s="68">
        <v>0</v>
      </c>
      <c r="F237" s="68">
        <v>0</v>
      </c>
      <c r="G237" s="68">
        <v>0</v>
      </c>
      <c r="H237" s="68">
        <v>0</v>
      </c>
      <c r="I237" s="68">
        <v>68000</v>
      </c>
      <c r="J237" s="68">
        <v>0</v>
      </c>
      <c r="K237" s="68">
        <v>0</v>
      </c>
      <c r="L237" s="68">
        <v>68000</v>
      </c>
      <c r="M237" s="68">
        <v>0</v>
      </c>
      <c r="N237" s="68">
        <v>0</v>
      </c>
      <c r="O237" s="68">
        <v>0</v>
      </c>
      <c r="P237" s="68">
        <v>0</v>
      </c>
      <c r="Q237" s="68">
        <f>SUM(E237:P237)</f>
        <v>136000</v>
      </c>
      <c r="R237" s="65"/>
    </row>
    <row r="238" spans="1:18" s="66" customFormat="1">
      <c r="A238" s="67">
        <v>237</v>
      </c>
      <c r="B238" s="78" t="s">
        <v>451</v>
      </c>
      <c r="C238" s="79" t="s">
        <v>452</v>
      </c>
      <c r="D238" s="79" t="s">
        <v>22</v>
      </c>
      <c r="E238" s="68">
        <v>0</v>
      </c>
      <c r="F238" s="68">
        <v>1051.5</v>
      </c>
      <c r="G238" s="68">
        <v>0</v>
      </c>
      <c r="H238" s="68">
        <v>0</v>
      </c>
      <c r="I238" s="68">
        <v>0</v>
      </c>
      <c r="J238" s="68">
        <v>0</v>
      </c>
      <c r="K238" s="68">
        <v>0</v>
      </c>
      <c r="L238" s="68">
        <v>0</v>
      </c>
      <c r="M238" s="68">
        <v>0</v>
      </c>
      <c r="N238" s="68">
        <v>0</v>
      </c>
      <c r="O238" s="68">
        <v>0</v>
      </c>
      <c r="P238" s="68">
        <v>0</v>
      </c>
      <c r="Q238" s="68">
        <f>SUM(E238:P238)</f>
        <v>1051.5</v>
      </c>
      <c r="R238" s="65"/>
    </row>
    <row r="239" spans="1:18" s="66" customFormat="1">
      <c r="A239" s="67">
        <v>238</v>
      </c>
      <c r="B239" s="78" t="s">
        <v>453</v>
      </c>
      <c r="C239" s="79" t="s">
        <v>23</v>
      </c>
      <c r="D239" s="79" t="s">
        <v>30</v>
      </c>
      <c r="E239" s="68">
        <v>0</v>
      </c>
      <c r="F239" s="68">
        <v>0</v>
      </c>
      <c r="G239" s="68">
        <v>0</v>
      </c>
      <c r="H239" s="68">
        <v>0</v>
      </c>
      <c r="I239" s="68">
        <v>0</v>
      </c>
      <c r="J239" s="68">
        <v>0</v>
      </c>
      <c r="K239" s="68">
        <v>0</v>
      </c>
      <c r="L239" s="68">
        <v>4050</v>
      </c>
      <c r="M239" s="68">
        <v>0</v>
      </c>
      <c r="N239" s="68">
        <v>0</v>
      </c>
      <c r="O239" s="68">
        <v>8100</v>
      </c>
      <c r="P239" s="68">
        <v>0</v>
      </c>
      <c r="Q239" s="68">
        <f>SUM(E239:P239)</f>
        <v>12150</v>
      </c>
      <c r="R239" s="65"/>
    </row>
    <row r="240" spans="1:18" s="66" customFormat="1">
      <c r="A240" s="67">
        <v>239</v>
      </c>
      <c r="B240" s="78" t="s">
        <v>454</v>
      </c>
      <c r="C240" s="79" t="s">
        <v>455</v>
      </c>
      <c r="D240" s="79" t="s">
        <v>19</v>
      </c>
      <c r="E240" s="68">
        <v>0</v>
      </c>
      <c r="F240" s="68">
        <v>7150</v>
      </c>
      <c r="G240" s="68">
        <v>7010</v>
      </c>
      <c r="H240" s="68">
        <v>0</v>
      </c>
      <c r="I240" s="68">
        <v>0</v>
      </c>
      <c r="J240" s="68">
        <v>0</v>
      </c>
      <c r="K240" s="68">
        <v>0</v>
      </c>
      <c r="L240" s="68">
        <v>0</v>
      </c>
      <c r="M240" s="68">
        <v>0</v>
      </c>
      <c r="N240" s="68">
        <v>0</v>
      </c>
      <c r="O240" s="68">
        <v>0</v>
      </c>
      <c r="P240" s="68">
        <v>0</v>
      </c>
      <c r="Q240" s="68">
        <f>SUM(E240:P240)</f>
        <v>14160</v>
      </c>
      <c r="R240" s="65"/>
    </row>
    <row r="241" spans="1:18" s="66" customFormat="1">
      <c r="A241" s="67">
        <v>240</v>
      </c>
      <c r="B241" s="78" t="s">
        <v>456</v>
      </c>
      <c r="C241" s="79" t="s">
        <v>457</v>
      </c>
      <c r="D241" s="79" t="s">
        <v>28</v>
      </c>
      <c r="E241" s="68">
        <v>6063</v>
      </c>
      <c r="F241" s="68">
        <v>0</v>
      </c>
      <c r="G241" s="68">
        <v>23000</v>
      </c>
      <c r="H241" s="68">
        <v>0</v>
      </c>
      <c r="I241" s="68">
        <v>0</v>
      </c>
      <c r="J241" s="68">
        <v>0</v>
      </c>
      <c r="K241" s="68">
        <v>0</v>
      </c>
      <c r="L241" s="68">
        <v>0</v>
      </c>
      <c r="M241" s="68">
        <v>0</v>
      </c>
      <c r="N241" s="68">
        <v>0</v>
      </c>
      <c r="O241" s="68">
        <v>0</v>
      </c>
      <c r="P241" s="68">
        <v>0</v>
      </c>
      <c r="Q241" s="68">
        <f>SUM(E241:P241)</f>
        <v>29063</v>
      </c>
      <c r="R241" s="65"/>
    </row>
    <row r="242" spans="1:18" s="66" customFormat="1">
      <c r="A242" s="67">
        <v>241</v>
      </c>
      <c r="B242" s="78" t="s">
        <v>458</v>
      </c>
      <c r="C242" s="79" t="s">
        <v>459</v>
      </c>
      <c r="D242" s="79" t="s">
        <v>69</v>
      </c>
      <c r="E242" s="68">
        <v>24025</v>
      </c>
      <c r="F242" s="68">
        <v>0</v>
      </c>
      <c r="G242" s="68">
        <v>0</v>
      </c>
      <c r="H242" s="68">
        <v>87090</v>
      </c>
      <c r="I242" s="68">
        <v>0</v>
      </c>
      <c r="J242" s="68">
        <v>0</v>
      </c>
      <c r="K242" s="68">
        <v>20580</v>
      </c>
      <c r="L242" s="68">
        <v>14220</v>
      </c>
      <c r="M242" s="68">
        <v>0</v>
      </c>
      <c r="N242" s="68">
        <v>0</v>
      </c>
      <c r="O242" s="68">
        <v>0</v>
      </c>
      <c r="P242" s="68">
        <v>0</v>
      </c>
      <c r="Q242" s="68">
        <f>SUM(E242:P242)</f>
        <v>145915</v>
      </c>
      <c r="R242" s="65"/>
    </row>
    <row r="243" spans="1:18" s="66" customFormat="1" ht="30.75">
      <c r="A243" s="67">
        <v>242</v>
      </c>
      <c r="B243" s="78" t="s">
        <v>460</v>
      </c>
      <c r="C243" s="79" t="s">
        <v>461</v>
      </c>
      <c r="D243" s="79" t="s">
        <v>135</v>
      </c>
      <c r="E243" s="68">
        <v>0</v>
      </c>
      <c r="F243" s="68">
        <v>0</v>
      </c>
      <c r="G243" s="68">
        <v>0</v>
      </c>
      <c r="H243" s="68">
        <v>0</v>
      </c>
      <c r="I243" s="68">
        <v>30000</v>
      </c>
      <c r="J243" s="68">
        <v>0</v>
      </c>
      <c r="K243" s="68">
        <v>0</v>
      </c>
      <c r="L243" s="68">
        <v>0</v>
      </c>
      <c r="M243" s="68">
        <v>0</v>
      </c>
      <c r="N243" s="68">
        <v>0</v>
      </c>
      <c r="O243" s="68">
        <v>0</v>
      </c>
      <c r="P243" s="68">
        <v>0</v>
      </c>
      <c r="Q243" s="68">
        <f>SUM(E243:P243)</f>
        <v>30000</v>
      </c>
      <c r="R243" s="65"/>
    </row>
    <row r="244" spans="1:18" s="66" customFormat="1">
      <c r="A244" s="67">
        <v>243</v>
      </c>
      <c r="B244" s="78" t="s">
        <v>462</v>
      </c>
      <c r="C244" s="79" t="s">
        <v>463</v>
      </c>
      <c r="D244" s="79" t="s">
        <v>19</v>
      </c>
      <c r="E244" s="68">
        <v>0</v>
      </c>
      <c r="F244" s="68">
        <v>0</v>
      </c>
      <c r="G244" s="68">
        <v>0</v>
      </c>
      <c r="H244" s="68">
        <v>0</v>
      </c>
      <c r="I244" s="68">
        <v>0</v>
      </c>
      <c r="J244" s="68">
        <v>0</v>
      </c>
      <c r="K244" s="68">
        <v>0</v>
      </c>
      <c r="L244" s="68">
        <v>6400</v>
      </c>
      <c r="M244" s="68">
        <v>6900</v>
      </c>
      <c r="N244" s="68">
        <v>0</v>
      </c>
      <c r="O244" s="68">
        <v>0</v>
      </c>
      <c r="P244" s="68">
        <v>0</v>
      </c>
      <c r="Q244" s="68">
        <f>SUM(E244:P244)</f>
        <v>13300</v>
      </c>
      <c r="R244" s="65"/>
    </row>
    <row r="245" spans="1:18" s="66" customFormat="1">
      <c r="A245" s="67">
        <v>244</v>
      </c>
      <c r="B245" s="78" t="s">
        <v>464</v>
      </c>
      <c r="C245" s="79" t="s">
        <v>465</v>
      </c>
      <c r="D245" s="79" t="s">
        <v>19</v>
      </c>
      <c r="E245" s="68">
        <v>70450</v>
      </c>
      <c r="F245" s="68">
        <v>24650</v>
      </c>
      <c r="G245" s="68">
        <v>43130</v>
      </c>
      <c r="H245" s="68">
        <v>49018</v>
      </c>
      <c r="I245" s="68">
        <v>39030</v>
      </c>
      <c r="J245" s="68">
        <v>10705</v>
      </c>
      <c r="K245" s="68">
        <v>28350</v>
      </c>
      <c r="L245" s="68">
        <v>3000</v>
      </c>
      <c r="M245" s="68">
        <v>7000</v>
      </c>
      <c r="N245" s="68" t="s">
        <v>23</v>
      </c>
      <c r="O245" s="68">
        <v>86190</v>
      </c>
      <c r="P245" s="68">
        <v>16500</v>
      </c>
      <c r="Q245" s="68">
        <f>SUM(E245:P245)</f>
        <v>378023</v>
      </c>
      <c r="R245" s="65"/>
    </row>
    <row r="246" spans="1:18" s="66" customFormat="1">
      <c r="A246" s="67">
        <v>245</v>
      </c>
      <c r="B246" s="78" t="s">
        <v>466</v>
      </c>
      <c r="C246" s="79" t="s">
        <v>467</v>
      </c>
      <c r="D246" s="79" t="s">
        <v>19</v>
      </c>
      <c r="E246" s="68">
        <v>4253</v>
      </c>
      <c r="F246" s="68">
        <v>0</v>
      </c>
      <c r="G246" s="68">
        <v>0</v>
      </c>
      <c r="H246" s="68">
        <v>0</v>
      </c>
      <c r="I246" s="68">
        <v>0</v>
      </c>
      <c r="J246" s="68">
        <v>0</v>
      </c>
      <c r="K246" s="68">
        <v>0</v>
      </c>
      <c r="L246" s="68">
        <v>0</v>
      </c>
      <c r="M246" s="68">
        <v>0</v>
      </c>
      <c r="N246" s="68">
        <v>0</v>
      </c>
      <c r="O246" s="68">
        <v>0</v>
      </c>
      <c r="P246" s="68">
        <v>0</v>
      </c>
      <c r="Q246" s="68">
        <f>SUM(E246:P246)</f>
        <v>4253</v>
      </c>
      <c r="R246" s="65"/>
    </row>
    <row r="247" spans="1:18" s="66" customFormat="1">
      <c r="A247" s="67">
        <v>246</v>
      </c>
      <c r="B247" s="78" t="s">
        <v>468</v>
      </c>
      <c r="C247" s="79" t="s">
        <v>469</v>
      </c>
      <c r="D247" s="79" t="s">
        <v>90</v>
      </c>
      <c r="E247" s="68">
        <v>0</v>
      </c>
      <c r="F247" s="68">
        <v>0</v>
      </c>
      <c r="G247" s="68">
        <v>4200</v>
      </c>
      <c r="H247" s="68">
        <v>3100</v>
      </c>
      <c r="I247" s="68">
        <v>0</v>
      </c>
      <c r="J247" s="68">
        <v>0</v>
      </c>
      <c r="K247" s="68">
        <v>0</v>
      </c>
      <c r="L247" s="68">
        <v>0</v>
      </c>
      <c r="M247" s="68">
        <v>0</v>
      </c>
      <c r="N247" s="68">
        <v>53880</v>
      </c>
      <c r="O247" s="68">
        <v>0</v>
      </c>
      <c r="P247" s="68">
        <v>0</v>
      </c>
      <c r="Q247" s="68">
        <f>SUM(E247:P247)</f>
        <v>61180</v>
      </c>
      <c r="R247" s="65"/>
    </row>
    <row r="248" spans="1:18" s="66" customFormat="1">
      <c r="A248" s="67">
        <v>247</v>
      </c>
      <c r="B248" s="78" t="s">
        <v>470</v>
      </c>
      <c r="C248" s="79" t="s">
        <v>471</v>
      </c>
      <c r="D248" s="79" t="s">
        <v>69</v>
      </c>
      <c r="E248" s="68">
        <v>0</v>
      </c>
      <c r="F248" s="68">
        <v>0</v>
      </c>
      <c r="G248" s="68">
        <v>0</v>
      </c>
      <c r="H248" s="68">
        <v>0</v>
      </c>
      <c r="I248" s="68">
        <v>0</v>
      </c>
      <c r="J248" s="68">
        <v>0</v>
      </c>
      <c r="K248" s="68">
        <v>0</v>
      </c>
      <c r="L248" s="68">
        <v>75000</v>
      </c>
      <c r="M248" s="68">
        <v>0</v>
      </c>
      <c r="N248" s="68">
        <v>176200</v>
      </c>
      <c r="O248" s="68">
        <v>465000</v>
      </c>
      <c r="P248" s="68">
        <v>187900</v>
      </c>
      <c r="Q248" s="68">
        <f>SUM(E248:P248)</f>
        <v>904100</v>
      </c>
      <c r="R248" s="65"/>
    </row>
    <row r="249" spans="1:18" s="66" customFormat="1">
      <c r="A249" s="67">
        <v>248</v>
      </c>
      <c r="B249" s="78" t="s">
        <v>472</v>
      </c>
      <c r="C249" s="79" t="s">
        <v>473</v>
      </c>
      <c r="D249" s="79" t="s">
        <v>90</v>
      </c>
      <c r="E249" s="68">
        <v>0</v>
      </c>
      <c r="F249" s="68">
        <v>0</v>
      </c>
      <c r="G249" s="68">
        <v>0</v>
      </c>
      <c r="H249" s="68">
        <v>0</v>
      </c>
      <c r="I249" s="68">
        <v>0</v>
      </c>
      <c r="J249" s="68">
        <v>0</v>
      </c>
      <c r="K249" s="68">
        <v>0</v>
      </c>
      <c r="L249" s="68">
        <v>0</v>
      </c>
      <c r="M249" s="68">
        <v>0</v>
      </c>
      <c r="N249" s="68">
        <v>0</v>
      </c>
      <c r="O249" s="68">
        <v>88135</v>
      </c>
      <c r="P249" s="68">
        <v>90600</v>
      </c>
      <c r="Q249" s="68">
        <f>SUM(E249:P249)</f>
        <v>178735</v>
      </c>
      <c r="R249" s="65"/>
    </row>
    <row r="250" spans="1:18" s="66" customFormat="1">
      <c r="A250" s="67">
        <v>249</v>
      </c>
      <c r="B250" s="78" t="s">
        <v>474</v>
      </c>
      <c r="C250" s="79" t="s">
        <v>475</v>
      </c>
      <c r="D250" s="79" t="s">
        <v>90</v>
      </c>
      <c r="E250" s="68">
        <v>0</v>
      </c>
      <c r="F250" s="68">
        <v>27300</v>
      </c>
      <c r="G250" s="68">
        <v>0</v>
      </c>
      <c r="H250" s="68">
        <v>0</v>
      </c>
      <c r="I250" s="68">
        <v>0</v>
      </c>
      <c r="J250" s="68">
        <v>39000</v>
      </c>
      <c r="K250" s="68">
        <v>0</v>
      </c>
      <c r="L250" s="68">
        <v>0</v>
      </c>
      <c r="M250" s="68">
        <v>36153</v>
      </c>
      <c r="N250" s="68">
        <v>0</v>
      </c>
      <c r="O250" s="68">
        <v>46410</v>
      </c>
      <c r="P250" s="68">
        <v>0</v>
      </c>
      <c r="Q250" s="68">
        <f>SUM(E250:P250)</f>
        <v>148863</v>
      </c>
      <c r="R250" s="65"/>
    </row>
    <row r="251" spans="1:18" s="66" customFormat="1">
      <c r="A251" s="67">
        <v>250</v>
      </c>
      <c r="B251" s="78" t="s">
        <v>476</v>
      </c>
      <c r="C251" s="79" t="s">
        <v>23</v>
      </c>
      <c r="D251" s="79" t="s">
        <v>30</v>
      </c>
      <c r="E251" s="68">
        <v>0</v>
      </c>
      <c r="F251" s="68">
        <v>3270</v>
      </c>
      <c r="G251" s="68">
        <v>0</v>
      </c>
      <c r="H251" s="68">
        <v>0</v>
      </c>
      <c r="I251" s="68">
        <v>0</v>
      </c>
      <c r="J251" s="68">
        <v>0</v>
      </c>
      <c r="K251" s="68">
        <v>0</v>
      </c>
      <c r="L251" s="68">
        <v>0</v>
      </c>
      <c r="M251" s="68">
        <v>0</v>
      </c>
      <c r="N251" s="68">
        <v>0</v>
      </c>
      <c r="O251" s="68">
        <v>0</v>
      </c>
      <c r="P251" s="68">
        <v>0</v>
      </c>
      <c r="Q251" s="68">
        <f>SUM(E251:P251)</f>
        <v>3270</v>
      </c>
      <c r="R251" s="65"/>
    </row>
    <row r="252" spans="1:18" s="66" customFormat="1">
      <c r="A252" s="67">
        <v>251</v>
      </c>
      <c r="B252" s="78" t="s">
        <v>477</v>
      </c>
      <c r="C252" s="79" t="s">
        <v>478</v>
      </c>
      <c r="D252" s="79" t="s">
        <v>252</v>
      </c>
      <c r="E252" s="68">
        <v>25200</v>
      </c>
      <c r="F252" s="68">
        <v>0</v>
      </c>
      <c r="G252" s="68">
        <v>0</v>
      </c>
      <c r="H252" s="68">
        <v>0</v>
      </c>
      <c r="I252" s="68">
        <v>0</v>
      </c>
      <c r="J252" s="68">
        <v>0</v>
      </c>
      <c r="K252" s="68">
        <v>0</v>
      </c>
      <c r="L252" s="68">
        <v>0</v>
      </c>
      <c r="M252" s="68">
        <v>0</v>
      </c>
      <c r="N252" s="68">
        <v>0</v>
      </c>
      <c r="O252" s="68">
        <v>0</v>
      </c>
      <c r="P252" s="68">
        <v>0</v>
      </c>
      <c r="Q252" s="68">
        <f>SUM(E252:P252)</f>
        <v>25200</v>
      </c>
      <c r="R252" s="65"/>
    </row>
    <row r="253" spans="1:18" s="66" customFormat="1">
      <c r="A253" s="67">
        <v>252</v>
      </c>
      <c r="B253" s="78" t="s">
        <v>479</v>
      </c>
      <c r="C253" s="79" t="s">
        <v>480</v>
      </c>
      <c r="D253" s="79" t="s">
        <v>19</v>
      </c>
      <c r="E253" s="68">
        <v>0</v>
      </c>
      <c r="F253" s="68">
        <v>0</v>
      </c>
      <c r="G253" s="68">
        <v>0</v>
      </c>
      <c r="H253" s="68">
        <v>1650</v>
      </c>
      <c r="I253" s="68">
        <v>0</v>
      </c>
      <c r="J253" s="68">
        <v>0</v>
      </c>
      <c r="K253" s="68">
        <v>0</v>
      </c>
      <c r="L253" s="68">
        <v>0</v>
      </c>
      <c r="M253" s="68">
        <v>0</v>
      </c>
      <c r="N253" s="68">
        <v>0</v>
      </c>
      <c r="O253" s="68">
        <v>1650</v>
      </c>
      <c r="P253" s="68">
        <v>0</v>
      </c>
      <c r="Q253" s="68">
        <f>SUM(E253:P253)</f>
        <v>3300</v>
      </c>
      <c r="R253" s="65"/>
    </row>
    <row r="254" spans="1:18" s="66" customFormat="1">
      <c r="A254" s="67">
        <v>253</v>
      </c>
      <c r="B254" s="78" t="s">
        <v>481</v>
      </c>
      <c r="C254" s="79" t="s">
        <v>482</v>
      </c>
      <c r="D254" s="79" t="s">
        <v>90</v>
      </c>
      <c r="E254" s="68">
        <v>0</v>
      </c>
      <c r="F254" s="68">
        <v>6900</v>
      </c>
      <c r="G254" s="68">
        <v>0</v>
      </c>
      <c r="H254" s="68">
        <v>7340</v>
      </c>
      <c r="I254" s="68">
        <v>0</v>
      </c>
      <c r="J254" s="68">
        <v>0</v>
      </c>
      <c r="K254" s="68">
        <v>0</v>
      </c>
      <c r="L254" s="68">
        <v>0</v>
      </c>
      <c r="M254" s="68">
        <v>20175</v>
      </c>
      <c r="N254" s="68">
        <v>0</v>
      </c>
      <c r="O254" s="68">
        <v>19642</v>
      </c>
      <c r="P254" s="68">
        <v>0</v>
      </c>
      <c r="Q254" s="68">
        <f>SUM(E254:P254)</f>
        <v>54057</v>
      </c>
      <c r="R254" s="65"/>
    </row>
    <row r="255" spans="1:18" s="66" customFormat="1">
      <c r="A255" s="67">
        <v>254</v>
      </c>
      <c r="B255" s="78" t="s">
        <v>483</v>
      </c>
      <c r="C255" s="79" t="s">
        <v>484</v>
      </c>
      <c r="D255" s="79" t="s">
        <v>90</v>
      </c>
      <c r="E255" s="68"/>
      <c r="F255" s="68">
        <v>77910</v>
      </c>
      <c r="G255" s="68">
        <v>0</v>
      </c>
      <c r="H255" s="68">
        <v>0</v>
      </c>
      <c r="I255" s="68">
        <v>0</v>
      </c>
      <c r="J255" s="68">
        <v>119250</v>
      </c>
      <c r="K255" s="68">
        <v>89040</v>
      </c>
      <c r="L255" s="68">
        <v>45000</v>
      </c>
      <c r="M255" s="68">
        <v>0</v>
      </c>
      <c r="N255" s="68">
        <v>153750</v>
      </c>
      <c r="O255" s="68">
        <v>90000</v>
      </c>
      <c r="P255" s="68">
        <v>0</v>
      </c>
      <c r="Q255" s="68">
        <f>SUM(E255:P255)</f>
        <v>574950</v>
      </c>
      <c r="R255" s="65"/>
    </row>
    <row r="256" spans="1:18" s="66" customFormat="1">
      <c r="A256" s="67">
        <v>255</v>
      </c>
      <c r="B256" s="78" t="s">
        <v>485</v>
      </c>
      <c r="C256" s="79" t="s">
        <v>486</v>
      </c>
      <c r="D256" s="79" t="s">
        <v>90</v>
      </c>
      <c r="E256" s="68">
        <v>0</v>
      </c>
      <c r="F256" s="68">
        <v>0</v>
      </c>
      <c r="G256" s="68">
        <v>0</v>
      </c>
      <c r="H256" s="68">
        <v>0</v>
      </c>
      <c r="I256" s="68">
        <v>0</v>
      </c>
      <c r="J256" s="68">
        <v>0</v>
      </c>
      <c r="K256" s="68">
        <v>0</v>
      </c>
      <c r="L256" s="68">
        <v>8160</v>
      </c>
      <c r="M256" s="68">
        <v>0</v>
      </c>
      <c r="N256" s="68">
        <v>0</v>
      </c>
      <c r="O256" s="68">
        <v>0</v>
      </c>
      <c r="P256" s="68">
        <v>0</v>
      </c>
      <c r="Q256" s="68">
        <f>SUM(E256:P256)</f>
        <v>8160</v>
      </c>
      <c r="R256" s="65"/>
    </row>
    <row r="257" spans="1:18" s="66" customFormat="1">
      <c r="A257" s="67">
        <v>256</v>
      </c>
      <c r="B257" s="78" t="s">
        <v>487</v>
      </c>
      <c r="C257" s="79" t="s">
        <v>488</v>
      </c>
      <c r="D257" s="79" t="s">
        <v>277</v>
      </c>
      <c r="E257" s="68">
        <v>0</v>
      </c>
      <c r="F257" s="68">
        <v>0</v>
      </c>
      <c r="G257" s="68">
        <v>0</v>
      </c>
      <c r="H257" s="68">
        <v>30000</v>
      </c>
      <c r="I257" s="68">
        <v>72000</v>
      </c>
      <c r="J257" s="68">
        <v>0</v>
      </c>
      <c r="K257" s="68">
        <v>0</v>
      </c>
      <c r="L257" s="68">
        <v>0</v>
      </c>
      <c r="M257" s="68">
        <v>0</v>
      </c>
      <c r="N257" s="68">
        <v>0</v>
      </c>
      <c r="O257" s="68">
        <v>171000</v>
      </c>
      <c r="P257" s="68">
        <v>74000</v>
      </c>
      <c r="Q257" s="68">
        <f>SUM(E257:P257)</f>
        <v>347000</v>
      </c>
      <c r="R257" s="65"/>
    </row>
    <row r="258" spans="1:18" s="66" customFormat="1">
      <c r="A258" s="67">
        <v>257</v>
      </c>
      <c r="B258" s="78" t="s">
        <v>489</v>
      </c>
      <c r="C258" s="79" t="s">
        <v>23</v>
      </c>
      <c r="D258" s="79" t="s">
        <v>30</v>
      </c>
      <c r="E258" s="68">
        <v>0</v>
      </c>
      <c r="F258" s="68">
        <v>0</v>
      </c>
      <c r="G258" s="68">
        <v>0</v>
      </c>
      <c r="H258" s="68">
        <v>0</v>
      </c>
      <c r="I258" s="68">
        <v>0</v>
      </c>
      <c r="J258" s="68">
        <v>0</v>
      </c>
      <c r="K258" s="68">
        <v>0</v>
      </c>
      <c r="L258" s="68">
        <v>0</v>
      </c>
      <c r="M258" s="68">
        <v>0</v>
      </c>
      <c r="N258" s="68">
        <v>4800</v>
      </c>
      <c r="O258" s="68">
        <v>0</v>
      </c>
      <c r="P258" s="68">
        <v>0</v>
      </c>
      <c r="Q258" s="68">
        <f>SUM(E258:P258)</f>
        <v>4800</v>
      </c>
      <c r="R258" s="65"/>
    </row>
    <row r="259" spans="1:18" s="66" customFormat="1" ht="30.75">
      <c r="A259" s="67">
        <v>258</v>
      </c>
      <c r="B259" s="78" t="s">
        <v>490</v>
      </c>
      <c r="C259" s="79" t="s">
        <v>491</v>
      </c>
      <c r="D259" s="79" t="s">
        <v>69</v>
      </c>
      <c r="E259" s="68">
        <v>0</v>
      </c>
      <c r="F259" s="68">
        <v>0</v>
      </c>
      <c r="G259" s="68">
        <v>0</v>
      </c>
      <c r="H259" s="68">
        <v>0</v>
      </c>
      <c r="I259" s="68">
        <v>0</v>
      </c>
      <c r="J259" s="68">
        <v>0</v>
      </c>
      <c r="K259" s="68">
        <v>0</v>
      </c>
      <c r="L259" s="68">
        <v>0</v>
      </c>
      <c r="M259" s="68">
        <v>0</v>
      </c>
      <c r="N259" s="68">
        <v>0</v>
      </c>
      <c r="O259" s="68">
        <v>0</v>
      </c>
      <c r="P259" s="68">
        <v>1836</v>
      </c>
      <c r="Q259" s="68">
        <f>SUM(E259:P259)</f>
        <v>1836</v>
      </c>
      <c r="R259" s="65"/>
    </row>
    <row r="260" spans="1:18" s="66" customFormat="1">
      <c r="A260" s="67">
        <v>259</v>
      </c>
      <c r="B260" s="78" t="s">
        <v>492</v>
      </c>
      <c r="C260" s="79" t="s">
        <v>23</v>
      </c>
      <c r="D260" s="79" t="s">
        <v>30</v>
      </c>
      <c r="E260" s="68">
        <v>0</v>
      </c>
      <c r="F260" s="68">
        <v>0</v>
      </c>
      <c r="G260" s="68">
        <v>0</v>
      </c>
      <c r="H260" s="68">
        <v>0</v>
      </c>
      <c r="I260" s="68">
        <v>0</v>
      </c>
      <c r="J260" s="68">
        <v>0</v>
      </c>
      <c r="K260" s="68">
        <v>0</v>
      </c>
      <c r="L260" s="68">
        <v>15400</v>
      </c>
      <c r="M260" s="68">
        <v>9281.25</v>
      </c>
      <c r="N260" s="68">
        <v>0</v>
      </c>
      <c r="O260" s="68">
        <v>0</v>
      </c>
      <c r="P260" s="68">
        <v>0</v>
      </c>
      <c r="Q260" s="68">
        <f>SUM(E260:P260)</f>
        <v>24681.25</v>
      </c>
      <c r="R260" s="65"/>
    </row>
    <row r="261" spans="1:18" s="66" customFormat="1">
      <c r="A261" s="67">
        <v>260</v>
      </c>
      <c r="B261" s="78" t="s">
        <v>493</v>
      </c>
      <c r="C261" s="79" t="s">
        <v>23</v>
      </c>
      <c r="D261" s="79" t="s">
        <v>30</v>
      </c>
      <c r="E261" s="68">
        <v>0</v>
      </c>
      <c r="F261" s="68">
        <v>0</v>
      </c>
      <c r="G261" s="68">
        <v>0</v>
      </c>
      <c r="H261" s="68">
        <v>0</v>
      </c>
      <c r="I261" s="68">
        <v>0</v>
      </c>
      <c r="J261" s="68">
        <v>0</v>
      </c>
      <c r="K261" s="68">
        <v>4410</v>
      </c>
      <c r="L261" s="68">
        <v>8820</v>
      </c>
      <c r="M261" s="68">
        <v>0</v>
      </c>
      <c r="N261" s="68">
        <v>0</v>
      </c>
      <c r="O261" s="68">
        <v>0</v>
      </c>
      <c r="P261" s="68">
        <v>0</v>
      </c>
      <c r="Q261" s="68">
        <f>SUM(E261:P261)</f>
        <v>13230</v>
      </c>
      <c r="R261" s="65"/>
    </row>
    <row r="262" spans="1:18" s="66" customFormat="1">
      <c r="A262" s="67">
        <v>261</v>
      </c>
      <c r="B262" s="78" t="s">
        <v>494</v>
      </c>
      <c r="C262" s="79" t="s">
        <v>23</v>
      </c>
      <c r="D262" s="79" t="s">
        <v>30</v>
      </c>
      <c r="E262" s="68">
        <v>0</v>
      </c>
      <c r="F262" s="68">
        <v>0</v>
      </c>
      <c r="G262" s="68">
        <v>1140</v>
      </c>
      <c r="H262" s="68">
        <v>0</v>
      </c>
      <c r="I262" s="68">
        <v>0</v>
      </c>
      <c r="J262" s="68">
        <v>0</v>
      </c>
      <c r="K262" s="68">
        <v>1442</v>
      </c>
      <c r="L262" s="68">
        <v>0</v>
      </c>
      <c r="M262" s="68">
        <v>0</v>
      </c>
      <c r="N262" s="68">
        <v>0</v>
      </c>
      <c r="O262" s="68">
        <v>0</v>
      </c>
      <c r="P262" s="68">
        <v>0</v>
      </c>
      <c r="Q262" s="68">
        <f>SUM(E262:P262)</f>
        <v>2582</v>
      </c>
      <c r="R262" s="65"/>
    </row>
    <row r="263" spans="1:18" s="66" customFormat="1">
      <c r="A263" s="67">
        <v>262</v>
      </c>
      <c r="B263" s="78" t="s">
        <v>495</v>
      </c>
      <c r="C263" s="79" t="s">
        <v>496</v>
      </c>
      <c r="D263" s="79" t="s">
        <v>122</v>
      </c>
      <c r="E263" s="68">
        <v>0</v>
      </c>
      <c r="F263" s="68">
        <v>0</v>
      </c>
      <c r="G263" s="68">
        <v>0</v>
      </c>
      <c r="H263" s="68">
        <v>0</v>
      </c>
      <c r="I263" s="68">
        <v>1450</v>
      </c>
      <c r="J263" s="68">
        <v>0</v>
      </c>
      <c r="K263" s="68">
        <v>0</v>
      </c>
      <c r="L263" s="68">
        <v>0</v>
      </c>
      <c r="M263" s="68">
        <v>0</v>
      </c>
      <c r="N263" s="68">
        <v>0</v>
      </c>
      <c r="O263" s="68">
        <v>0</v>
      </c>
      <c r="P263" s="68">
        <v>0</v>
      </c>
      <c r="Q263" s="68">
        <f>SUM(E263:P263)</f>
        <v>1450</v>
      </c>
      <c r="R263" s="65"/>
    </row>
    <row r="264" spans="1:18" s="66" customFormat="1">
      <c r="A264" s="67">
        <v>263</v>
      </c>
      <c r="B264" s="78" t="s">
        <v>497</v>
      </c>
      <c r="C264" s="79" t="s">
        <v>23</v>
      </c>
      <c r="D264" s="79" t="s">
        <v>30</v>
      </c>
      <c r="E264" s="68">
        <v>1778</v>
      </c>
      <c r="F264" s="68">
        <v>0</v>
      </c>
      <c r="G264" s="68">
        <v>0</v>
      </c>
      <c r="H264" s="68">
        <v>0</v>
      </c>
      <c r="I264" s="68">
        <v>0</v>
      </c>
      <c r="J264" s="68">
        <v>0</v>
      </c>
      <c r="K264" s="68">
        <v>0</v>
      </c>
      <c r="L264" s="68">
        <v>0</v>
      </c>
      <c r="M264" s="68">
        <v>0</v>
      </c>
      <c r="N264" s="68">
        <v>0</v>
      </c>
      <c r="O264" s="68">
        <v>0</v>
      </c>
      <c r="P264" s="68">
        <v>0</v>
      </c>
      <c r="Q264" s="68">
        <f>SUM(E264:P264)</f>
        <v>1778</v>
      </c>
      <c r="R264" s="65"/>
    </row>
    <row r="265" spans="1:18" s="66" customFormat="1">
      <c r="A265" s="67">
        <v>264</v>
      </c>
      <c r="B265" s="78" t="s">
        <v>498</v>
      </c>
      <c r="C265" s="79" t="s">
        <v>23</v>
      </c>
      <c r="D265" s="79" t="s">
        <v>30</v>
      </c>
      <c r="E265" s="68">
        <v>0</v>
      </c>
      <c r="F265" s="68">
        <v>0</v>
      </c>
      <c r="G265" s="68">
        <v>451753.2</v>
      </c>
      <c r="H265" s="68">
        <v>0</v>
      </c>
      <c r="I265" s="68">
        <v>0</v>
      </c>
      <c r="J265" s="68">
        <v>0</v>
      </c>
      <c r="K265" s="68">
        <v>0</v>
      </c>
      <c r="L265" s="68">
        <v>0</v>
      </c>
      <c r="M265" s="68">
        <v>0</v>
      </c>
      <c r="N265" s="68">
        <v>0</v>
      </c>
      <c r="O265" s="68">
        <v>0</v>
      </c>
      <c r="P265" s="68">
        <v>0</v>
      </c>
      <c r="Q265" s="68">
        <f>SUM(E265:P265)</f>
        <v>451753.2</v>
      </c>
      <c r="R265" s="65"/>
    </row>
    <row r="266" spans="1:18" s="66" customFormat="1">
      <c r="A266" s="67">
        <v>265</v>
      </c>
      <c r="B266" s="78" t="s">
        <v>499</v>
      </c>
      <c r="C266" s="79" t="s">
        <v>500</v>
      </c>
      <c r="D266" s="79" t="s">
        <v>19</v>
      </c>
      <c r="E266" s="68">
        <v>0</v>
      </c>
      <c r="F266" s="68">
        <v>0</v>
      </c>
      <c r="G266" s="68">
        <v>38395</v>
      </c>
      <c r="H266" s="68">
        <v>0</v>
      </c>
      <c r="I266" s="68">
        <v>0</v>
      </c>
      <c r="J266" s="68">
        <v>0</v>
      </c>
      <c r="K266" s="68">
        <v>0</v>
      </c>
      <c r="L266" s="68">
        <v>0</v>
      </c>
      <c r="M266" s="68">
        <v>0</v>
      </c>
      <c r="N266" s="68">
        <v>0</v>
      </c>
      <c r="O266" s="68">
        <v>0</v>
      </c>
      <c r="P266" s="68">
        <v>0</v>
      </c>
      <c r="Q266" s="68">
        <f>SUM(E266:P266)</f>
        <v>38395</v>
      </c>
      <c r="R266" s="65"/>
    </row>
    <row r="267" spans="1:18" s="66" customFormat="1">
      <c r="A267" s="67">
        <v>266</v>
      </c>
      <c r="B267" s="78" t="s">
        <v>501</v>
      </c>
      <c r="C267" s="79" t="s">
        <v>502</v>
      </c>
      <c r="D267" s="79" t="s">
        <v>90</v>
      </c>
      <c r="E267" s="68">
        <v>0</v>
      </c>
      <c r="F267" s="68">
        <v>0</v>
      </c>
      <c r="G267" s="68">
        <v>0</v>
      </c>
      <c r="H267" s="68">
        <v>0</v>
      </c>
      <c r="I267" s="68">
        <v>0</v>
      </c>
      <c r="J267" s="68">
        <v>0</v>
      </c>
      <c r="K267" s="68">
        <v>0</v>
      </c>
      <c r="L267" s="68">
        <v>131800</v>
      </c>
      <c r="M267" s="68">
        <v>45900</v>
      </c>
      <c r="N267" s="68">
        <v>149800</v>
      </c>
      <c r="O267" s="68">
        <v>0</v>
      </c>
      <c r="P267" s="68">
        <v>0</v>
      </c>
      <c r="Q267" s="68">
        <f>SUM(E267:P267)</f>
        <v>327500</v>
      </c>
      <c r="R267" s="65"/>
    </row>
    <row r="268" spans="1:18" s="66" customFormat="1">
      <c r="A268" s="67">
        <v>267</v>
      </c>
      <c r="B268" s="78" t="s">
        <v>503</v>
      </c>
      <c r="C268" s="79" t="s">
        <v>504</v>
      </c>
      <c r="D268" s="79" t="s">
        <v>277</v>
      </c>
      <c r="E268" s="68">
        <v>0</v>
      </c>
      <c r="F268" s="68">
        <v>77490</v>
      </c>
      <c r="G268" s="68">
        <v>0</v>
      </c>
      <c r="H268" s="68">
        <v>14600</v>
      </c>
      <c r="I268" s="68">
        <v>0</v>
      </c>
      <c r="J268" s="68">
        <v>179140</v>
      </c>
      <c r="K268" s="68">
        <v>0</v>
      </c>
      <c r="L268" s="68">
        <v>49500</v>
      </c>
      <c r="M268" s="68">
        <v>44880</v>
      </c>
      <c r="N268" s="68">
        <v>0</v>
      </c>
      <c r="O268" s="68">
        <v>75600</v>
      </c>
      <c r="P268" s="68">
        <v>95250</v>
      </c>
      <c r="Q268" s="68">
        <f>SUM(E268:P268)</f>
        <v>536460</v>
      </c>
      <c r="R268" s="65"/>
    </row>
    <row r="269" spans="1:18" s="66" customFormat="1">
      <c r="A269" s="67">
        <v>268</v>
      </c>
      <c r="B269" s="78" t="s">
        <v>505</v>
      </c>
      <c r="C269" s="79" t="s">
        <v>506</v>
      </c>
      <c r="D269" s="79" t="s">
        <v>104</v>
      </c>
      <c r="E269" s="68">
        <v>12600</v>
      </c>
      <c r="F269" s="68">
        <v>0</v>
      </c>
      <c r="G269" s="68">
        <v>0</v>
      </c>
      <c r="H269" s="68">
        <v>0</v>
      </c>
      <c r="I269" s="68">
        <v>0</v>
      </c>
      <c r="J269" s="68">
        <v>0</v>
      </c>
      <c r="K269" s="68">
        <v>0</v>
      </c>
      <c r="L269" s="68">
        <v>0</v>
      </c>
      <c r="M269" s="68">
        <v>0</v>
      </c>
      <c r="N269" s="68">
        <v>0</v>
      </c>
      <c r="O269" s="68">
        <v>0</v>
      </c>
      <c r="P269" s="68">
        <v>0</v>
      </c>
      <c r="Q269" s="68">
        <f>SUM(E269:P269)</f>
        <v>12600</v>
      </c>
      <c r="R269" s="65"/>
    </row>
    <row r="270" spans="1:18" s="66" customFormat="1">
      <c r="A270" s="67">
        <v>269</v>
      </c>
      <c r="B270" s="78" t="s">
        <v>507</v>
      </c>
      <c r="C270" s="79" t="s">
        <v>23</v>
      </c>
      <c r="D270" s="79" t="s">
        <v>30</v>
      </c>
      <c r="E270" s="68">
        <v>0</v>
      </c>
      <c r="F270" s="68">
        <v>0</v>
      </c>
      <c r="G270" s="68">
        <v>7800</v>
      </c>
      <c r="H270" s="68">
        <v>0</v>
      </c>
      <c r="I270" s="68">
        <v>0</v>
      </c>
      <c r="J270" s="68">
        <v>0</v>
      </c>
      <c r="K270" s="68">
        <v>0</v>
      </c>
      <c r="L270" s="68">
        <v>0</v>
      </c>
      <c r="M270" s="68">
        <v>0</v>
      </c>
      <c r="N270" s="68">
        <v>0</v>
      </c>
      <c r="O270" s="68">
        <v>0</v>
      </c>
      <c r="P270" s="68">
        <v>0</v>
      </c>
      <c r="Q270" s="68">
        <f>SUM(E270:P270)</f>
        <v>7800</v>
      </c>
      <c r="R270" s="65"/>
    </row>
    <row r="271" spans="1:18" s="66" customFormat="1">
      <c r="A271" s="67">
        <v>270</v>
      </c>
      <c r="B271" s="78" t="s">
        <v>508</v>
      </c>
      <c r="C271" s="79" t="s">
        <v>509</v>
      </c>
      <c r="D271" s="79" t="s">
        <v>100</v>
      </c>
      <c r="E271" s="68">
        <v>0</v>
      </c>
      <c r="F271" s="68">
        <v>0</v>
      </c>
      <c r="G271" s="68">
        <v>0</v>
      </c>
      <c r="H271" s="68">
        <v>0</v>
      </c>
      <c r="I271" s="68">
        <v>279.5</v>
      </c>
      <c r="J271" s="68">
        <v>0</v>
      </c>
      <c r="K271" s="68">
        <v>0</v>
      </c>
      <c r="L271" s="68">
        <v>2550.5</v>
      </c>
      <c r="M271" s="68">
        <v>0</v>
      </c>
      <c r="N271" s="68">
        <v>0</v>
      </c>
      <c r="O271" s="68">
        <v>0</v>
      </c>
      <c r="P271" s="68">
        <v>0</v>
      </c>
      <c r="Q271" s="68">
        <f>SUM(E271:P271)</f>
        <v>2830</v>
      </c>
      <c r="R271" s="65"/>
    </row>
    <row r="272" spans="1:18" s="66" customFormat="1" ht="30.75">
      <c r="A272" s="67">
        <v>271</v>
      </c>
      <c r="B272" s="78" t="s">
        <v>510</v>
      </c>
      <c r="C272" s="79" t="s">
        <v>511</v>
      </c>
      <c r="D272" s="79" t="s">
        <v>90</v>
      </c>
      <c r="E272" s="68">
        <v>0</v>
      </c>
      <c r="F272" s="68">
        <v>0</v>
      </c>
      <c r="G272" s="68">
        <v>0</v>
      </c>
      <c r="H272" s="68">
        <v>0</v>
      </c>
      <c r="I272" s="68">
        <v>3613</v>
      </c>
      <c r="J272" s="68">
        <v>3351.6</v>
      </c>
      <c r="K272" s="68">
        <v>2513</v>
      </c>
      <c r="L272" s="68">
        <v>4084</v>
      </c>
      <c r="M272" s="68">
        <v>0</v>
      </c>
      <c r="N272" s="68">
        <v>1440</v>
      </c>
      <c r="O272" s="68">
        <v>0</v>
      </c>
      <c r="P272" s="68">
        <v>9000</v>
      </c>
      <c r="Q272" s="68">
        <f>SUM(E272:P272)</f>
        <v>24001.599999999999</v>
      </c>
      <c r="R272" s="65"/>
    </row>
    <row r="273" spans="1:18" s="66" customFormat="1">
      <c r="A273" s="67">
        <v>272</v>
      </c>
      <c r="B273" s="78" t="s">
        <v>512</v>
      </c>
      <c r="C273" s="79" t="s">
        <v>23</v>
      </c>
      <c r="D273" s="79" t="s">
        <v>30</v>
      </c>
      <c r="E273" s="68">
        <v>0</v>
      </c>
      <c r="F273" s="68">
        <v>0</v>
      </c>
      <c r="G273" s="68">
        <v>0</v>
      </c>
      <c r="H273" s="68">
        <v>0</v>
      </c>
      <c r="I273" s="68">
        <v>0</v>
      </c>
      <c r="J273" s="68">
        <v>0</v>
      </c>
      <c r="K273" s="68">
        <v>0</v>
      </c>
      <c r="L273" s="68">
        <v>0</v>
      </c>
      <c r="M273" s="68">
        <v>0</v>
      </c>
      <c r="N273" s="68">
        <v>0</v>
      </c>
      <c r="O273" s="68">
        <v>0</v>
      </c>
      <c r="P273" s="68">
        <v>3520</v>
      </c>
      <c r="Q273" s="68">
        <f>SUM(E273:P273)</f>
        <v>3520</v>
      </c>
      <c r="R273" s="65"/>
    </row>
    <row r="274" spans="1:18" s="66" customFormat="1" ht="30.75">
      <c r="A274" s="67">
        <v>273</v>
      </c>
      <c r="B274" s="78" t="s">
        <v>513</v>
      </c>
      <c r="C274" s="79" t="s">
        <v>514</v>
      </c>
      <c r="D274" s="79" t="s">
        <v>433</v>
      </c>
      <c r="E274" s="68">
        <v>0</v>
      </c>
      <c r="F274" s="68">
        <v>0</v>
      </c>
      <c r="G274" s="68">
        <v>3000</v>
      </c>
      <c r="H274" s="68">
        <v>0</v>
      </c>
      <c r="I274" s="68">
        <v>0</v>
      </c>
      <c r="J274" s="68">
        <v>0</v>
      </c>
      <c r="K274" s="68">
        <v>0</v>
      </c>
      <c r="L274" s="68">
        <v>0</v>
      </c>
      <c r="M274" s="68">
        <v>0</v>
      </c>
      <c r="N274" s="68">
        <v>0</v>
      </c>
      <c r="O274" s="68">
        <v>0</v>
      </c>
      <c r="P274" s="68">
        <v>0</v>
      </c>
      <c r="Q274" s="68">
        <f>SUM(E274:P274)</f>
        <v>3000</v>
      </c>
      <c r="R274" s="65"/>
    </row>
    <row r="275" spans="1:18" s="66" customFormat="1">
      <c r="A275" s="67">
        <v>274</v>
      </c>
      <c r="B275" s="78" t="s">
        <v>515</v>
      </c>
      <c r="C275" s="79" t="s">
        <v>23</v>
      </c>
      <c r="D275" s="79" t="s">
        <v>30</v>
      </c>
      <c r="E275" s="68">
        <v>0</v>
      </c>
      <c r="F275" s="68">
        <v>0</v>
      </c>
      <c r="G275" s="68">
        <v>0</v>
      </c>
      <c r="H275" s="68">
        <v>0</v>
      </c>
      <c r="I275" s="68">
        <v>0</v>
      </c>
      <c r="J275" s="68">
        <v>0</v>
      </c>
      <c r="K275" s="68">
        <v>0</v>
      </c>
      <c r="L275" s="68">
        <v>0</v>
      </c>
      <c r="M275" s="68">
        <v>0</v>
      </c>
      <c r="N275" s="68">
        <v>6600</v>
      </c>
      <c r="O275" s="68">
        <v>0</v>
      </c>
      <c r="P275" s="68">
        <v>0</v>
      </c>
      <c r="Q275" s="68">
        <f>SUM(E275:P275)</f>
        <v>6600</v>
      </c>
      <c r="R275" s="65"/>
    </row>
    <row r="276" spans="1:18" s="66" customFormat="1">
      <c r="A276" s="67">
        <v>275</v>
      </c>
      <c r="B276" s="78" t="s">
        <v>516</v>
      </c>
      <c r="C276" s="79" t="s">
        <v>23</v>
      </c>
      <c r="D276" s="79" t="s">
        <v>30</v>
      </c>
      <c r="E276" s="68">
        <v>0</v>
      </c>
      <c r="F276" s="68">
        <v>0</v>
      </c>
      <c r="G276" s="68">
        <v>0</v>
      </c>
      <c r="H276" s="68">
        <v>243000</v>
      </c>
      <c r="I276" s="68">
        <v>0</v>
      </c>
      <c r="J276" s="68">
        <v>0</v>
      </c>
      <c r="K276" s="68">
        <v>0</v>
      </c>
      <c r="L276" s="68">
        <v>0</v>
      </c>
      <c r="M276" s="68">
        <v>47400</v>
      </c>
      <c r="N276" s="68">
        <v>0</v>
      </c>
      <c r="O276" s="68">
        <v>0</v>
      </c>
      <c r="P276" s="68">
        <v>0</v>
      </c>
      <c r="Q276" s="68">
        <f>SUM(E276:P276)</f>
        <v>290400</v>
      </c>
      <c r="R276" s="65"/>
    </row>
    <row r="277" spans="1:18" s="66" customFormat="1">
      <c r="A277" s="67">
        <v>276</v>
      </c>
      <c r="B277" s="78" t="s">
        <v>517</v>
      </c>
      <c r="C277" s="79" t="s">
        <v>23</v>
      </c>
      <c r="D277" s="79" t="s">
        <v>30</v>
      </c>
      <c r="E277" s="68">
        <v>0</v>
      </c>
      <c r="F277" s="68">
        <v>0</v>
      </c>
      <c r="G277" s="68">
        <v>0</v>
      </c>
      <c r="H277" s="68">
        <v>0</v>
      </c>
      <c r="I277" s="68">
        <v>0</v>
      </c>
      <c r="J277" s="68">
        <v>0</v>
      </c>
      <c r="K277" s="68">
        <v>0</v>
      </c>
      <c r="L277" s="68">
        <v>0</v>
      </c>
      <c r="M277" s="68">
        <v>0</v>
      </c>
      <c r="N277" s="68">
        <v>16050</v>
      </c>
      <c r="O277" s="68">
        <v>0</v>
      </c>
      <c r="P277" s="68">
        <v>0</v>
      </c>
      <c r="Q277" s="68">
        <f>SUM(E277:P277)</f>
        <v>16050</v>
      </c>
      <c r="R277" s="65"/>
    </row>
    <row r="278" spans="1:18" s="66" customFormat="1">
      <c r="A278" s="67">
        <v>277</v>
      </c>
      <c r="B278" s="78" t="s">
        <v>518</v>
      </c>
      <c r="C278" s="79" t="s">
        <v>23</v>
      </c>
      <c r="D278" s="79" t="s">
        <v>30</v>
      </c>
      <c r="E278" s="68">
        <v>0</v>
      </c>
      <c r="F278" s="68">
        <v>0</v>
      </c>
      <c r="G278" s="68">
        <v>0</v>
      </c>
      <c r="H278" s="68">
        <v>0</v>
      </c>
      <c r="I278" s="68">
        <v>0</v>
      </c>
      <c r="J278" s="68">
        <v>0</v>
      </c>
      <c r="K278" s="68">
        <v>0</v>
      </c>
      <c r="L278" s="68">
        <v>0</v>
      </c>
      <c r="M278" s="68">
        <v>0</v>
      </c>
      <c r="N278" s="68">
        <v>0</v>
      </c>
      <c r="O278" s="68">
        <v>6954</v>
      </c>
      <c r="P278" s="68">
        <v>0</v>
      </c>
      <c r="Q278" s="68">
        <f>SUM(E278:P278)</f>
        <v>6954</v>
      </c>
      <c r="R278" s="65"/>
    </row>
    <row r="279" spans="1:18" s="66" customFormat="1">
      <c r="A279" s="67">
        <v>278</v>
      </c>
      <c r="B279" s="78" t="s">
        <v>519</v>
      </c>
      <c r="C279" s="79" t="s">
        <v>520</v>
      </c>
      <c r="D279" s="79" t="s">
        <v>19</v>
      </c>
      <c r="E279" s="68">
        <v>0</v>
      </c>
      <c r="F279" s="68">
        <v>0</v>
      </c>
      <c r="G279" s="68">
        <v>0</v>
      </c>
      <c r="H279" s="68">
        <v>0</v>
      </c>
      <c r="I279" s="68">
        <v>0</v>
      </c>
      <c r="J279" s="68">
        <v>0</v>
      </c>
      <c r="K279" s="68">
        <v>0</v>
      </c>
      <c r="L279" s="68">
        <v>2350</v>
      </c>
      <c r="M279" s="68">
        <v>0</v>
      </c>
      <c r="N279" s="68">
        <v>0</v>
      </c>
      <c r="O279" s="68">
        <v>0</v>
      </c>
      <c r="P279" s="68">
        <v>0</v>
      </c>
      <c r="Q279" s="68">
        <f>SUM(E279:P279)</f>
        <v>2350</v>
      </c>
      <c r="R279" s="65"/>
    </row>
    <row r="280" spans="1:18" s="66" customFormat="1">
      <c r="A280" s="67">
        <v>279</v>
      </c>
      <c r="B280" s="78" t="s">
        <v>521</v>
      </c>
      <c r="C280" s="79" t="s">
        <v>522</v>
      </c>
      <c r="D280" s="79" t="s">
        <v>19</v>
      </c>
      <c r="E280" s="68">
        <v>6992</v>
      </c>
      <c r="F280" s="68">
        <v>0</v>
      </c>
      <c r="G280" s="68">
        <v>0</v>
      </c>
      <c r="H280" s="68">
        <v>0</v>
      </c>
      <c r="I280" s="68">
        <v>4575</v>
      </c>
      <c r="J280" s="68">
        <v>8500</v>
      </c>
      <c r="K280" s="68">
        <v>0</v>
      </c>
      <c r="L280" s="68">
        <v>13125</v>
      </c>
      <c r="M280" s="68">
        <v>10290</v>
      </c>
      <c r="N280" s="68">
        <v>0</v>
      </c>
      <c r="O280" s="68">
        <v>0</v>
      </c>
      <c r="P280" s="68">
        <v>0</v>
      </c>
      <c r="Q280" s="68">
        <f>SUM(E280:P280)</f>
        <v>43482</v>
      </c>
      <c r="R280" s="65"/>
    </row>
    <row r="281" spans="1:18" s="66" customFormat="1">
      <c r="A281" s="67">
        <v>280</v>
      </c>
      <c r="B281" s="78" t="s">
        <v>523</v>
      </c>
      <c r="C281" s="79" t="s">
        <v>23</v>
      </c>
      <c r="D281" s="79" t="s">
        <v>30</v>
      </c>
      <c r="E281" s="68">
        <v>0</v>
      </c>
      <c r="F281" s="68">
        <v>0</v>
      </c>
      <c r="G281" s="68">
        <v>0</v>
      </c>
      <c r="H281" s="68">
        <v>18475</v>
      </c>
      <c r="I281" s="68">
        <v>12690</v>
      </c>
      <c r="J281" s="68">
        <v>0</v>
      </c>
      <c r="K281" s="68">
        <v>0</v>
      </c>
      <c r="L281" s="68">
        <v>0</v>
      </c>
      <c r="M281" s="68">
        <v>0</v>
      </c>
      <c r="N281" s="68">
        <v>0</v>
      </c>
      <c r="O281" s="68">
        <v>0</v>
      </c>
      <c r="P281" s="68">
        <v>0</v>
      </c>
      <c r="Q281" s="68">
        <f>SUM(E281:P281)</f>
        <v>31165</v>
      </c>
      <c r="R281" s="65"/>
    </row>
    <row r="282" spans="1:18" s="66" customFormat="1">
      <c r="A282" s="67">
        <v>281</v>
      </c>
      <c r="B282" s="78" t="s">
        <v>524</v>
      </c>
      <c r="C282" s="79" t="s">
        <v>525</v>
      </c>
      <c r="D282" s="79" t="s">
        <v>19</v>
      </c>
      <c r="E282" s="68">
        <v>66570</v>
      </c>
      <c r="F282" s="68">
        <v>0</v>
      </c>
      <c r="G282" s="68">
        <v>0</v>
      </c>
      <c r="H282" s="68">
        <v>23242</v>
      </c>
      <c r="I282" s="68">
        <v>0</v>
      </c>
      <c r="J282" s="68">
        <v>27800</v>
      </c>
      <c r="K282" s="68">
        <v>0</v>
      </c>
      <c r="L282" s="68">
        <v>0</v>
      </c>
      <c r="M282" s="68">
        <v>0</v>
      </c>
      <c r="N282" s="68">
        <v>0</v>
      </c>
      <c r="O282" s="68">
        <v>0</v>
      </c>
      <c r="P282" s="68">
        <v>2242.5</v>
      </c>
      <c r="Q282" s="68">
        <f>SUM(E282:P282)</f>
        <v>119854.5</v>
      </c>
      <c r="R282" s="65"/>
    </row>
    <row r="283" spans="1:18" s="66" customFormat="1">
      <c r="A283" s="67">
        <v>282</v>
      </c>
      <c r="B283" s="78" t="s">
        <v>526</v>
      </c>
      <c r="C283" s="79" t="s">
        <v>527</v>
      </c>
      <c r="D283" s="79" t="s">
        <v>19</v>
      </c>
      <c r="E283" s="68">
        <v>30923</v>
      </c>
      <c r="F283" s="68">
        <v>61180</v>
      </c>
      <c r="G283" s="68">
        <v>29415</v>
      </c>
      <c r="H283" s="68">
        <v>67100</v>
      </c>
      <c r="I283" s="68">
        <v>75140</v>
      </c>
      <c r="J283" s="68">
        <v>19000</v>
      </c>
      <c r="K283" s="68">
        <v>0</v>
      </c>
      <c r="L283" s="68">
        <v>6300</v>
      </c>
      <c r="M283" s="68">
        <v>37259</v>
      </c>
      <c r="N283" s="68">
        <v>21740</v>
      </c>
      <c r="O283" s="68">
        <v>7970</v>
      </c>
      <c r="P283" s="68">
        <v>12140</v>
      </c>
      <c r="Q283" s="68">
        <f>SUM(E283:P283)</f>
        <v>368167</v>
      </c>
      <c r="R283" s="65"/>
    </row>
    <row r="284" spans="1:18" s="66" customFormat="1">
      <c r="A284" s="67">
        <v>283</v>
      </c>
      <c r="B284" s="78" t="s">
        <v>528</v>
      </c>
      <c r="C284" s="79" t="s">
        <v>529</v>
      </c>
      <c r="D284" s="79" t="s">
        <v>69</v>
      </c>
      <c r="E284" s="68">
        <v>0</v>
      </c>
      <c r="F284" s="68">
        <v>0</v>
      </c>
      <c r="G284" s="68">
        <v>0</v>
      </c>
      <c r="H284" s="68">
        <v>21600</v>
      </c>
      <c r="I284" s="68">
        <v>0</v>
      </c>
      <c r="J284" s="68">
        <v>28440</v>
      </c>
      <c r="K284" s="68">
        <v>23400</v>
      </c>
      <c r="L284" s="68">
        <v>0</v>
      </c>
      <c r="M284" s="68">
        <v>7200</v>
      </c>
      <c r="N284" s="68">
        <v>21600</v>
      </c>
      <c r="O284" s="68">
        <v>30600</v>
      </c>
      <c r="P284" s="68">
        <v>0</v>
      </c>
      <c r="Q284" s="68">
        <f>SUM(E284:P284)</f>
        <v>132840</v>
      </c>
      <c r="R284" s="65"/>
    </row>
    <row r="285" spans="1:18" s="66" customFormat="1">
      <c r="A285" s="67">
        <v>284</v>
      </c>
      <c r="B285" s="78" t="s">
        <v>530</v>
      </c>
      <c r="C285" s="79" t="s">
        <v>531</v>
      </c>
      <c r="D285" s="79" t="s">
        <v>257</v>
      </c>
      <c r="E285" s="68">
        <v>0</v>
      </c>
      <c r="F285" s="68">
        <v>0</v>
      </c>
      <c r="G285" s="68">
        <v>0</v>
      </c>
      <c r="H285" s="68">
        <v>0</v>
      </c>
      <c r="I285" s="68">
        <v>0</v>
      </c>
      <c r="J285" s="68">
        <v>0</v>
      </c>
      <c r="K285" s="68">
        <v>0</v>
      </c>
      <c r="L285" s="68">
        <v>22810</v>
      </c>
      <c r="M285" s="68">
        <v>21300</v>
      </c>
      <c r="N285" s="68">
        <v>0</v>
      </c>
      <c r="O285" s="68">
        <v>0</v>
      </c>
      <c r="P285" s="68">
        <v>0</v>
      </c>
      <c r="Q285" s="68">
        <f>SUM(E285:P285)</f>
        <v>44110</v>
      </c>
      <c r="R285" s="65"/>
    </row>
    <row r="286" spans="1:18" s="66" customFormat="1">
      <c r="A286" s="67">
        <v>285</v>
      </c>
      <c r="B286" s="78" t="s">
        <v>532</v>
      </c>
      <c r="C286" s="79" t="s">
        <v>533</v>
      </c>
      <c r="D286" s="79" t="s">
        <v>19</v>
      </c>
      <c r="E286" s="68">
        <v>0</v>
      </c>
      <c r="F286" s="68">
        <v>0</v>
      </c>
      <c r="G286" s="68">
        <v>0</v>
      </c>
      <c r="H286" s="68">
        <v>0</v>
      </c>
      <c r="I286" s="68">
        <v>0</v>
      </c>
      <c r="J286" s="68">
        <v>9450</v>
      </c>
      <c r="K286" s="68">
        <v>0</v>
      </c>
      <c r="L286" s="68">
        <v>0</v>
      </c>
      <c r="M286" s="68">
        <v>0</v>
      </c>
      <c r="N286" s="68">
        <v>0</v>
      </c>
      <c r="O286" s="68">
        <v>0</v>
      </c>
      <c r="P286" s="68">
        <v>0</v>
      </c>
      <c r="Q286" s="68">
        <f>SUM(E286:P286)</f>
        <v>9450</v>
      </c>
      <c r="R286" s="65"/>
    </row>
    <row r="287" spans="1:18" s="66" customFormat="1">
      <c r="A287" s="67">
        <v>286</v>
      </c>
      <c r="B287" s="78" t="s">
        <v>534</v>
      </c>
      <c r="C287" s="79" t="s">
        <v>535</v>
      </c>
      <c r="D287" s="79" t="s">
        <v>19</v>
      </c>
      <c r="E287" s="68">
        <v>0</v>
      </c>
      <c r="F287" s="68">
        <v>0</v>
      </c>
      <c r="G287" s="68">
        <v>0</v>
      </c>
      <c r="H287" s="68">
        <v>0</v>
      </c>
      <c r="I287" s="68">
        <v>0</v>
      </c>
      <c r="J287" s="68">
        <v>0</v>
      </c>
      <c r="K287" s="68">
        <v>0</v>
      </c>
      <c r="L287" s="68">
        <v>0</v>
      </c>
      <c r="M287" s="68">
        <v>0</v>
      </c>
      <c r="N287" s="68">
        <v>0</v>
      </c>
      <c r="O287" s="68">
        <v>15000</v>
      </c>
      <c r="P287" s="68">
        <v>45000</v>
      </c>
      <c r="Q287" s="68">
        <f>SUM(E287:P287)</f>
        <v>60000</v>
      </c>
      <c r="R287" s="65"/>
    </row>
    <row r="288" spans="1:18" s="66" customFormat="1">
      <c r="A288" s="67">
        <v>287</v>
      </c>
      <c r="B288" s="78" t="s">
        <v>536</v>
      </c>
      <c r="C288" s="79" t="s">
        <v>23</v>
      </c>
      <c r="D288" s="79" t="s">
        <v>30</v>
      </c>
      <c r="E288" s="68">
        <v>0</v>
      </c>
      <c r="F288" s="68">
        <v>7310</v>
      </c>
      <c r="G288" s="68">
        <v>2950</v>
      </c>
      <c r="H288" s="68">
        <v>0</v>
      </c>
      <c r="I288" s="68">
        <v>0</v>
      </c>
      <c r="J288" s="68">
        <v>0</v>
      </c>
      <c r="K288" s="68">
        <v>0</v>
      </c>
      <c r="L288" s="68">
        <v>0</v>
      </c>
      <c r="M288" s="68">
        <v>0</v>
      </c>
      <c r="N288" s="68">
        <v>0</v>
      </c>
      <c r="O288" s="68">
        <v>0</v>
      </c>
      <c r="P288" s="68">
        <v>0</v>
      </c>
      <c r="Q288" s="68">
        <f>SUM(E288:P288)</f>
        <v>10260</v>
      </c>
      <c r="R288" s="65"/>
    </row>
    <row r="289" spans="1:18" s="66" customFormat="1">
      <c r="A289" s="67">
        <v>288</v>
      </c>
      <c r="B289" s="78" t="s">
        <v>537</v>
      </c>
      <c r="C289" s="79" t="s">
        <v>23</v>
      </c>
      <c r="D289" s="79" t="s">
        <v>30</v>
      </c>
      <c r="E289" s="68" t="s">
        <v>23</v>
      </c>
      <c r="F289" s="68" t="s">
        <v>23</v>
      </c>
      <c r="G289" s="68" t="s">
        <v>23</v>
      </c>
      <c r="H289" s="68" t="s">
        <v>23</v>
      </c>
      <c r="I289" s="68" t="s">
        <v>23</v>
      </c>
      <c r="J289" s="68" t="s">
        <v>23</v>
      </c>
      <c r="K289" s="68" t="s">
        <v>23</v>
      </c>
      <c r="L289" s="68">
        <v>1287780.2</v>
      </c>
      <c r="M289" s="68" t="s">
        <v>23</v>
      </c>
      <c r="N289" s="68" t="s">
        <v>23</v>
      </c>
      <c r="O289" s="68" t="s">
        <v>23</v>
      </c>
      <c r="P289" s="68" t="s">
        <v>23</v>
      </c>
      <c r="Q289" s="68">
        <f>SUM(E289:P289)</f>
        <v>1287780.2</v>
      </c>
      <c r="R289" s="65"/>
    </row>
    <row r="290" spans="1:18" s="66" customFormat="1">
      <c r="A290" s="67">
        <v>289</v>
      </c>
      <c r="B290" s="78" t="s">
        <v>538</v>
      </c>
      <c r="C290" s="79" t="s">
        <v>539</v>
      </c>
      <c r="D290" s="79" t="s">
        <v>19</v>
      </c>
      <c r="E290" s="68">
        <v>3208</v>
      </c>
      <c r="F290" s="68">
        <v>1575</v>
      </c>
      <c r="G290" s="68">
        <v>5220</v>
      </c>
      <c r="H290" s="68">
        <v>0</v>
      </c>
      <c r="I290" s="68">
        <v>0</v>
      </c>
      <c r="J290" s="68">
        <v>975</v>
      </c>
      <c r="K290" s="68">
        <v>0</v>
      </c>
      <c r="L290" s="68">
        <v>0</v>
      </c>
      <c r="M290" s="68">
        <v>0</v>
      </c>
      <c r="N290" s="68">
        <v>0</v>
      </c>
      <c r="O290" s="68">
        <v>0</v>
      </c>
      <c r="P290" s="68">
        <v>0</v>
      </c>
      <c r="Q290" s="68">
        <f>SUM(E290:P290)</f>
        <v>10978</v>
      </c>
      <c r="R290" s="65"/>
    </row>
    <row r="291" spans="1:18" s="66" customFormat="1" ht="30.75">
      <c r="A291" s="67">
        <v>290</v>
      </c>
      <c r="B291" s="78" t="s">
        <v>540</v>
      </c>
      <c r="C291" s="79" t="s">
        <v>541</v>
      </c>
      <c r="D291" s="79" t="s">
        <v>19</v>
      </c>
      <c r="E291" s="68">
        <v>0</v>
      </c>
      <c r="F291" s="68">
        <v>0</v>
      </c>
      <c r="G291" s="68">
        <v>0</v>
      </c>
      <c r="H291" s="68">
        <v>0</v>
      </c>
      <c r="I291" s="68">
        <v>0</v>
      </c>
      <c r="J291" s="68">
        <v>3400</v>
      </c>
      <c r="K291" s="68">
        <v>0</v>
      </c>
      <c r="L291" s="68">
        <v>8500</v>
      </c>
      <c r="M291" s="68">
        <v>10200</v>
      </c>
      <c r="N291" s="68">
        <v>0</v>
      </c>
      <c r="O291" s="68">
        <v>0</v>
      </c>
      <c r="P291" s="68">
        <v>680</v>
      </c>
      <c r="Q291" s="68">
        <f>SUM(E291:P291)</f>
        <v>22780</v>
      </c>
      <c r="R291" s="65"/>
    </row>
    <row r="292" spans="1:18" s="66" customFormat="1">
      <c r="A292" s="67">
        <v>291</v>
      </c>
      <c r="B292" s="78" t="s">
        <v>542</v>
      </c>
      <c r="C292" s="79" t="s">
        <v>23</v>
      </c>
      <c r="D292" s="79" t="s">
        <v>30</v>
      </c>
      <c r="E292" s="68">
        <v>0</v>
      </c>
      <c r="F292" s="68">
        <v>0</v>
      </c>
      <c r="G292" s="68">
        <v>0</v>
      </c>
      <c r="H292" s="68">
        <v>0</v>
      </c>
      <c r="I292" s="68">
        <v>0</v>
      </c>
      <c r="J292" s="68">
        <v>0</v>
      </c>
      <c r="K292" s="68">
        <v>2140.5</v>
      </c>
      <c r="L292" s="68">
        <v>685.5</v>
      </c>
      <c r="M292" s="68">
        <v>0</v>
      </c>
      <c r="N292" s="68">
        <v>1982</v>
      </c>
      <c r="O292" s="68">
        <v>0</v>
      </c>
      <c r="P292" s="68">
        <v>0</v>
      </c>
      <c r="Q292" s="68">
        <f>SUM(E292:P292)</f>
        <v>4808</v>
      </c>
      <c r="R292" s="65"/>
    </row>
    <row r="293" spans="1:18" s="66" customFormat="1">
      <c r="A293" s="67">
        <v>292</v>
      </c>
      <c r="B293" s="78" t="s">
        <v>543</v>
      </c>
      <c r="C293" s="79" t="s">
        <v>544</v>
      </c>
      <c r="D293" s="79" t="s">
        <v>90</v>
      </c>
      <c r="E293" s="68">
        <v>0</v>
      </c>
      <c r="F293" s="68">
        <v>0</v>
      </c>
      <c r="G293" s="68">
        <v>0</v>
      </c>
      <c r="H293" s="68">
        <v>5700</v>
      </c>
      <c r="I293" s="68">
        <v>0</v>
      </c>
      <c r="J293" s="68">
        <v>0</v>
      </c>
      <c r="K293" s="68">
        <v>0</v>
      </c>
      <c r="L293" s="68">
        <v>0</v>
      </c>
      <c r="M293" s="68">
        <v>0</v>
      </c>
      <c r="N293" s="68">
        <v>0</v>
      </c>
      <c r="O293" s="68">
        <v>0</v>
      </c>
      <c r="P293" s="68">
        <v>0</v>
      </c>
      <c r="Q293" s="68">
        <f>SUM(E293:P293)</f>
        <v>5700</v>
      </c>
      <c r="R293" s="65"/>
    </row>
    <row r="294" spans="1:18" s="66" customFormat="1">
      <c r="A294" s="67">
        <v>293</v>
      </c>
      <c r="B294" s="78" t="s">
        <v>545</v>
      </c>
      <c r="C294" s="79" t="s">
        <v>546</v>
      </c>
      <c r="D294" s="79" t="s">
        <v>177</v>
      </c>
      <c r="E294" s="68">
        <v>4928</v>
      </c>
      <c r="F294" s="68">
        <v>4400</v>
      </c>
      <c r="G294" s="68">
        <v>4400</v>
      </c>
      <c r="H294" s="68">
        <v>8800</v>
      </c>
      <c r="I294" s="68">
        <v>8800</v>
      </c>
      <c r="J294" s="68">
        <v>11600</v>
      </c>
      <c r="K294" s="68">
        <v>4400</v>
      </c>
      <c r="L294" s="68">
        <v>4400</v>
      </c>
      <c r="M294" s="68">
        <v>8800</v>
      </c>
      <c r="N294" s="68">
        <v>0</v>
      </c>
      <c r="O294" s="68">
        <v>0</v>
      </c>
      <c r="P294" s="68">
        <v>0</v>
      </c>
      <c r="Q294" s="68">
        <f>SUM(E294:P294)</f>
        <v>60528</v>
      </c>
      <c r="R294" s="65"/>
    </row>
    <row r="295" spans="1:18" s="66" customFormat="1">
      <c r="A295" s="67">
        <v>294</v>
      </c>
      <c r="B295" s="78" t="s">
        <v>547</v>
      </c>
      <c r="C295" s="79" t="s">
        <v>461</v>
      </c>
      <c r="D295" s="79" t="s">
        <v>135</v>
      </c>
      <c r="E295" s="68" t="s">
        <v>23</v>
      </c>
      <c r="F295" s="68">
        <v>7400</v>
      </c>
      <c r="G295" s="68" t="s">
        <v>23</v>
      </c>
      <c r="H295" s="68" t="s">
        <v>23</v>
      </c>
      <c r="I295" s="68" t="s">
        <v>23</v>
      </c>
      <c r="J295" s="68" t="s">
        <v>23</v>
      </c>
      <c r="K295" s="68" t="s">
        <v>23</v>
      </c>
      <c r="L295" s="68" t="s">
        <v>23</v>
      </c>
      <c r="M295" s="68" t="s">
        <v>23</v>
      </c>
      <c r="N295" s="68" t="s">
        <v>23</v>
      </c>
      <c r="O295" s="68" t="s">
        <v>23</v>
      </c>
      <c r="P295" s="68" t="s">
        <v>23</v>
      </c>
      <c r="Q295" s="68">
        <f>SUM(E295:P295)</f>
        <v>7400</v>
      </c>
      <c r="R295" s="65"/>
    </row>
    <row r="296" spans="1:18" s="66" customFormat="1" ht="30.75">
      <c r="A296" s="67">
        <v>295</v>
      </c>
      <c r="B296" s="78" t="s">
        <v>548</v>
      </c>
      <c r="C296" s="79" t="s">
        <v>549</v>
      </c>
      <c r="D296" s="79" t="s">
        <v>19</v>
      </c>
      <c r="E296" s="68">
        <v>3150</v>
      </c>
      <c r="F296" s="68">
        <v>4640</v>
      </c>
      <c r="G296" s="68">
        <v>0</v>
      </c>
      <c r="H296" s="68">
        <v>3480</v>
      </c>
      <c r="I296" s="68">
        <v>0</v>
      </c>
      <c r="J296" s="68">
        <v>0</v>
      </c>
      <c r="K296" s="68">
        <v>0</v>
      </c>
      <c r="L296" s="68">
        <v>0</v>
      </c>
      <c r="M296" s="68">
        <v>0</v>
      </c>
      <c r="N296" s="68">
        <v>0</v>
      </c>
      <c r="O296" s="68">
        <v>0</v>
      </c>
      <c r="P296" s="68" t="s">
        <v>23</v>
      </c>
      <c r="Q296" s="68">
        <f>SUM(E296:P296)</f>
        <v>11270</v>
      </c>
      <c r="R296" s="65"/>
    </row>
    <row r="297" spans="1:18" s="66" customFormat="1">
      <c r="A297" s="67">
        <v>296</v>
      </c>
      <c r="B297" s="78" t="s">
        <v>550</v>
      </c>
      <c r="C297" s="79" t="s">
        <v>551</v>
      </c>
      <c r="D297" s="79" t="s">
        <v>90</v>
      </c>
      <c r="E297" s="68">
        <v>0</v>
      </c>
      <c r="F297" s="68">
        <v>0</v>
      </c>
      <c r="G297" s="68">
        <v>6200</v>
      </c>
      <c r="H297" s="68">
        <v>0</v>
      </c>
      <c r="I297" s="68">
        <v>3600</v>
      </c>
      <c r="J297" s="68">
        <v>0</v>
      </c>
      <c r="K297" s="68">
        <v>0</v>
      </c>
      <c r="L297" s="68">
        <v>0</v>
      </c>
      <c r="M297" s="68">
        <v>6200</v>
      </c>
      <c r="N297" s="68">
        <v>0</v>
      </c>
      <c r="O297" s="68">
        <v>6000</v>
      </c>
      <c r="P297" s="68">
        <v>0</v>
      </c>
      <c r="Q297" s="68">
        <f>SUM(E297:P297)</f>
        <v>22000</v>
      </c>
      <c r="R297" s="65"/>
    </row>
    <row r="298" spans="1:18" s="66" customFormat="1">
      <c r="A298" s="67">
        <v>297</v>
      </c>
      <c r="B298" s="78" t="s">
        <v>552</v>
      </c>
      <c r="C298" s="79" t="s">
        <v>553</v>
      </c>
      <c r="D298" s="79" t="s">
        <v>19</v>
      </c>
      <c r="E298" s="68">
        <v>73360</v>
      </c>
      <c r="F298" s="68">
        <v>60000</v>
      </c>
      <c r="G298" s="68">
        <v>48075</v>
      </c>
      <c r="H298" s="68">
        <v>56250</v>
      </c>
      <c r="I298" s="68">
        <v>63750</v>
      </c>
      <c r="J298" s="68">
        <v>77200</v>
      </c>
      <c r="K298" s="68">
        <v>71100</v>
      </c>
      <c r="L298" s="68">
        <v>80450</v>
      </c>
      <c r="M298" s="68">
        <v>67650</v>
      </c>
      <c r="N298" s="68">
        <v>88450</v>
      </c>
      <c r="O298" s="68">
        <v>69000</v>
      </c>
      <c r="P298" s="68">
        <v>64970</v>
      </c>
      <c r="Q298" s="68">
        <f>SUM(E298:P298)</f>
        <v>820255</v>
      </c>
      <c r="R298" s="65"/>
    </row>
    <row r="299" spans="1:18" s="66" customFormat="1">
      <c r="A299" s="67">
        <v>298</v>
      </c>
      <c r="B299" s="78" t="s">
        <v>554</v>
      </c>
      <c r="C299" s="79" t="s">
        <v>23</v>
      </c>
      <c r="D299" s="79" t="s">
        <v>30</v>
      </c>
      <c r="E299" s="68">
        <v>0</v>
      </c>
      <c r="F299" s="68">
        <v>0</v>
      </c>
      <c r="G299" s="68">
        <v>0</v>
      </c>
      <c r="H299" s="68">
        <v>0</v>
      </c>
      <c r="I299" s="68">
        <v>0</v>
      </c>
      <c r="J299" s="68">
        <v>1110</v>
      </c>
      <c r="K299" s="68">
        <v>0</v>
      </c>
      <c r="L299" s="68">
        <v>0</v>
      </c>
      <c r="M299" s="68">
        <v>0</v>
      </c>
      <c r="N299" s="68">
        <v>0</v>
      </c>
      <c r="O299" s="68">
        <v>0</v>
      </c>
      <c r="P299" s="68">
        <v>0</v>
      </c>
      <c r="Q299" s="68">
        <f>SUM(E299:P299)</f>
        <v>1110</v>
      </c>
      <c r="R299" s="65"/>
    </row>
    <row r="300" spans="1:18" s="66" customFormat="1">
      <c r="A300" s="67">
        <v>299</v>
      </c>
      <c r="B300" s="78" t="s">
        <v>555</v>
      </c>
      <c r="C300" s="79" t="s">
        <v>23</v>
      </c>
      <c r="D300" s="79" t="s">
        <v>30</v>
      </c>
      <c r="E300" s="68">
        <v>7084</v>
      </c>
      <c r="F300" s="68">
        <v>0</v>
      </c>
      <c r="G300" s="68">
        <v>0</v>
      </c>
      <c r="H300" s="68">
        <v>0</v>
      </c>
      <c r="I300" s="68">
        <v>0</v>
      </c>
      <c r="J300" s="68">
        <v>0</v>
      </c>
      <c r="K300" s="68">
        <v>0</v>
      </c>
      <c r="L300" s="68">
        <v>0</v>
      </c>
      <c r="M300" s="68">
        <v>0</v>
      </c>
      <c r="N300" s="68">
        <v>0</v>
      </c>
      <c r="O300" s="68">
        <v>0</v>
      </c>
      <c r="P300" s="68">
        <v>0</v>
      </c>
      <c r="Q300" s="68">
        <f>SUM(E300:P300)</f>
        <v>7084</v>
      </c>
      <c r="R300" s="65"/>
    </row>
    <row r="301" spans="1:18" s="66" customFormat="1">
      <c r="A301" s="67">
        <v>300</v>
      </c>
      <c r="B301" s="78" t="s">
        <v>556</v>
      </c>
      <c r="C301" s="79" t="s">
        <v>557</v>
      </c>
      <c r="D301" s="79" t="s">
        <v>135</v>
      </c>
      <c r="E301" s="68">
        <v>13440</v>
      </c>
      <c r="F301" s="68">
        <v>0</v>
      </c>
      <c r="G301" s="68">
        <v>0</v>
      </c>
      <c r="H301" s="68">
        <v>12000</v>
      </c>
      <c r="I301" s="68">
        <v>0</v>
      </c>
      <c r="J301" s="68">
        <v>0</v>
      </c>
      <c r="K301" s="68">
        <v>12000</v>
      </c>
      <c r="L301" s="68">
        <v>0</v>
      </c>
      <c r="M301" s="68">
        <v>12000</v>
      </c>
      <c r="N301" s="68">
        <v>0</v>
      </c>
      <c r="O301" s="68">
        <v>12000</v>
      </c>
      <c r="P301" s="68">
        <v>0</v>
      </c>
      <c r="Q301" s="68">
        <f>SUM(E301:P301)</f>
        <v>61440</v>
      </c>
      <c r="R301" s="65"/>
    </row>
    <row r="302" spans="1:18" s="66" customFormat="1">
      <c r="A302" s="67">
        <v>301</v>
      </c>
      <c r="B302" s="78" t="s">
        <v>558</v>
      </c>
      <c r="C302" s="79" t="s">
        <v>559</v>
      </c>
      <c r="D302" s="79" t="s">
        <v>19</v>
      </c>
      <c r="E302" s="68">
        <v>5264</v>
      </c>
      <c r="F302" s="68">
        <v>0</v>
      </c>
      <c r="G302" s="68">
        <v>0</v>
      </c>
      <c r="H302" s="68">
        <v>2100</v>
      </c>
      <c r="I302" s="68">
        <v>0</v>
      </c>
      <c r="J302" s="68">
        <v>0</v>
      </c>
      <c r="K302" s="68">
        <v>2200</v>
      </c>
      <c r="L302" s="68">
        <v>500</v>
      </c>
      <c r="M302" s="68">
        <v>0</v>
      </c>
      <c r="N302" s="68">
        <v>0</v>
      </c>
      <c r="O302" s="68">
        <v>2650</v>
      </c>
      <c r="P302" s="68">
        <v>1560</v>
      </c>
      <c r="Q302" s="68">
        <f>SUM(E302:P302)</f>
        <v>14274</v>
      </c>
      <c r="R302" s="65"/>
    </row>
    <row r="303" spans="1:18" s="66" customFormat="1">
      <c r="A303" s="67">
        <v>302</v>
      </c>
      <c r="B303" s="78" t="s">
        <v>560</v>
      </c>
      <c r="C303" s="79" t="s">
        <v>561</v>
      </c>
      <c r="D303" s="79" t="s">
        <v>342</v>
      </c>
      <c r="E303" s="68">
        <v>0</v>
      </c>
      <c r="F303" s="68">
        <v>0</v>
      </c>
      <c r="G303" s="68">
        <v>0</v>
      </c>
      <c r="H303" s="68">
        <v>0</v>
      </c>
      <c r="I303" s="68">
        <v>0</v>
      </c>
      <c r="J303" s="68">
        <v>4680</v>
      </c>
      <c r="K303" s="68">
        <v>0</v>
      </c>
      <c r="L303" s="68">
        <v>0</v>
      </c>
      <c r="M303" s="68">
        <v>0</v>
      </c>
      <c r="N303" s="68">
        <v>0</v>
      </c>
      <c r="O303" s="68">
        <v>0</v>
      </c>
      <c r="P303" s="68">
        <v>5850</v>
      </c>
      <c r="Q303" s="68">
        <f>SUM(E303:P303)</f>
        <v>10530</v>
      </c>
      <c r="R303" s="65"/>
    </row>
    <row r="304" spans="1:18" s="66" customFormat="1">
      <c r="A304" s="67">
        <v>303</v>
      </c>
      <c r="B304" s="78" t="s">
        <v>562</v>
      </c>
      <c r="C304" s="79" t="s">
        <v>563</v>
      </c>
      <c r="D304" s="79" t="s">
        <v>19</v>
      </c>
      <c r="E304" s="68">
        <v>0</v>
      </c>
      <c r="F304" s="68">
        <v>0</v>
      </c>
      <c r="G304" s="68">
        <v>0</v>
      </c>
      <c r="H304" s="68">
        <v>0</v>
      </c>
      <c r="I304" s="68">
        <v>0</v>
      </c>
      <c r="J304" s="68">
        <v>0</v>
      </c>
      <c r="K304" s="68">
        <v>0</v>
      </c>
      <c r="L304" s="68">
        <v>2425</v>
      </c>
      <c r="M304" s="68">
        <v>0</v>
      </c>
      <c r="N304" s="68">
        <v>0</v>
      </c>
      <c r="O304" s="68">
        <v>0</v>
      </c>
      <c r="P304" s="68">
        <v>0</v>
      </c>
      <c r="Q304" s="68">
        <f>SUM(E304:P304)</f>
        <v>2425</v>
      </c>
      <c r="R304" s="65"/>
    </row>
    <row r="305" spans="1:18" s="66" customFormat="1">
      <c r="A305" s="67">
        <v>304</v>
      </c>
      <c r="B305" s="78" t="s">
        <v>564</v>
      </c>
      <c r="C305" s="79" t="s">
        <v>23</v>
      </c>
      <c r="D305" s="79" t="s">
        <v>30</v>
      </c>
      <c r="E305" s="68">
        <v>0</v>
      </c>
      <c r="F305" s="68">
        <v>0</v>
      </c>
      <c r="G305" s="68">
        <v>0</v>
      </c>
      <c r="H305" s="68">
        <v>0</v>
      </c>
      <c r="I305" s="68">
        <v>0</v>
      </c>
      <c r="J305" s="68">
        <v>0</v>
      </c>
      <c r="K305" s="68">
        <v>0</v>
      </c>
      <c r="L305" s="68">
        <v>0</v>
      </c>
      <c r="M305" s="68">
        <v>16301</v>
      </c>
      <c r="N305" s="68">
        <v>11855</v>
      </c>
      <c r="O305" s="68">
        <v>0</v>
      </c>
      <c r="P305" s="68">
        <v>0</v>
      </c>
      <c r="Q305" s="68">
        <f>SUM(E305:P305)</f>
        <v>28156</v>
      </c>
      <c r="R305" s="65"/>
    </row>
    <row r="306" spans="1:18" s="66" customFormat="1">
      <c r="A306" s="67">
        <v>305</v>
      </c>
      <c r="B306" s="78" t="s">
        <v>565</v>
      </c>
      <c r="C306" s="79" t="s">
        <v>566</v>
      </c>
      <c r="D306" s="79" t="s">
        <v>19</v>
      </c>
      <c r="E306" s="68">
        <v>0</v>
      </c>
      <c r="F306" s="68">
        <v>0</v>
      </c>
      <c r="G306" s="68">
        <v>0</v>
      </c>
      <c r="H306" s="68">
        <v>0</v>
      </c>
      <c r="I306" s="68">
        <v>0</v>
      </c>
      <c r="J306" s="68">
        <v>0</v>
      </c>
      <c r="K306" s="68">
        <v>0</v>
      </c>
      <c r="L306" s="68">
        <v>6200</v>
      </c>
      <c r="M306" s="68">
        <v>10520</v>
      </c>
      <c r="N306" s="68">
        <v>0</v>
      </c>
      <c r="O306" s="68">
        <v>0</v>
      </c>
      <c r="P306" s="68">
        <v>8700</v>
      </c>
      <c r="Q306" s="68">
        <f>SUM(E306:P306)</f>
        <v>25420</v>
      </c>
      <c r="R306" s="65"/>
    </row>
    <row r="307" spans="1:18" s="66" customFormat="1">
      <c r="A307" s="67">
        <v>306</v>
      </c>
      <c r="B307" s="78" t="s">
        <v>567</v>
      </c>
      <c r="C307" s="79" t="s">
        <v>568</v>
      </c>
      <c r="D307" s="79" t="s">
        <v>19</v>
      </c>
      <c r="E307" s="68">
        <v>0</v>
      </c>
      <c r="F307" s="68">
        <v>0</v>
      </c>
      <c r="G307" s="68">
        <v>0</v>
      </c>
      <c r="H307" s="68">
        <v>23650</v>
      </c>
      <c r="I307" s="68">
        <v>0</v>
      </c>
      <c r="J307" s="68">
        <v>0</v>
      </c>
      <c r="K307" s="68">
        <v>0</v>
      </c>
      <c r="L307" s="68">
        <v>0</v>
      </c>
      <c r="M307" s="68">
        <v>0</v>
      </c>
      <c r="N307" s="68">
        <v>0</v>
      </c>
      <c r="O307" s="68">
        <v>0</v>
      </c>
      <c r="P307" s="68">
        <v>0</v>
      </c>
      <c r="Q307" s="68">
        <f>SUM(E307:P307)</f>
        <v>23650</v>
      </c>
      <c r="R307" s="65"/>
    </row>
    <row r="308" spans="1:18" s="66" customFormat="1">
      <c r="A308" s="67">
        <v>307</v>
      </c>
      <c r="B308" s="78" t="s">
        <v>569</v>
      </c>
      <c r="C308" s="79" t="s">
        <v>23</v>
      </c>
      <c r="D308" s="79" t="s">
        <v>30</v>
      </c>
      <c r="E308" s="68" t="s">
        <v>23</v>
      </c>
      <c r="F308" s="68">
        <v>0</v>
      </c>
      <c r="G308" s="68">
        <v>0</v>
      </c>
      <c r="H308" s="68">
        <v>0</v>
      </c>
      <c r="I308" s="68">
        <v>840</v>
      </c>
      <c r="J308" s="68">
        <v>0</v>
      </c>
      <c r="K308" s="68">
        <v>0</v>
      </c>
      <c r="L308" s="68">
        <v>0</v>
      </c>
      <c r="M308" s="68">
        <v>0</v>
      </c>
      <c r="N308" s="68">
        <v>0</v>
      </c>
      <c r="O308" s="68">
        <v>0</v>
      </c>
      <c r="P308" s="68">
        <v>0</v>
      </c>
      <c r="Q308" s="68">
        <f>SUM(E308:P308)</f>
        <v>840</v>
      </c>
      <c r="R308" s="65"/>
    </row>
    <row r="309" spans="1:18" s="66" customFormat="1">
      <c r="A309" s="67">
        <v>308</v>
      </c>
      <c r="B309" s="78" t="s">
        <v>570</v>
      </c>
      <c r="C309" s="79" t="s">
        <v>571</v>
      </c>
      <c r="D309" s="79" t="s">
        <v>170</v>
      </c>
      <c r="E309" s="68" t="s">
        <v>23</v>
      </c>
      <c r="F309" s="68">
        <v>13500</v>
      </c>
      <c r="G309" s="68">
        <v>0</v>
      </c>
      <c r="H309" s="68">
        <v>0</v>
      </c>
      <c r="I309" s="68">
        <v>0</v>
      </c>
      <c r="J309" s="68">
        <v>0</v>
      </c>
      <c r="K309" s="68">
        <v>48100</v>
      </c>
      <c r="L309" s="68">
        <v>0</v>
      </c>
      <c r="M309" s="68">
        <v>51000</v>
      </c>
      <c r="N309" s="68">
        <v>0</v>
      </c>
      <c r="O309" s="68">
        <v>12000</v>
      </c>
      <c r="P309" s="68">
        <v>0</v>
      </c>
      <c r="Q309" s="68">
        <f>SUM(E309:P309)</f>
        <v>124600</v>
      </c>
      <c r="R309" s="65"/>
    </row>
    <row r="310" spans="1:18" s="66" customFormat="1">
      <c r="A310" s="67">
        <v>309</v>
      </c>
      <c r="B310" s="78" t="s">
        <v>572</v>
      </c>
      <c r="C310" s="79" t="s">
        <v>573</v>
      </c>
      <c r="D310" s="79" t="s">
        <v>177</v>
      </c>
      <c r="E310" s="68">
        <v>50500</v>
      </c>
      <c r="F310" s="68">
        <v>94680</v>
      </c>
      <c r="G310" s="68">
        <v>0</v>
      </c>
      <c r="H310" s="68">
        <v>77100</v>
      </c>
      <c r="I310" s="68">
        <v>0</v>
      </c>
      <c r="J310" s="68">
        <v>0</v>
      </c>
      <c r="K310" s="68">
        <v>0</v>
      </c>
      <c r="L310" s="68">
        <v>0</v>
      </c>
      <c r="M310" s="68">
        <v>0</v>
      </c>
      <c r="N310" s="68">
        <v>0</v>
      </c>
      <c r="O310" s="68">
        <v>0</v>
      </c>
      <c r="P310" s="68">
        <v>0</v>
      </c>
      <c r="Q310" s="68">
        <f>SUM(E310:P310)</f>
        <v>222280</v>
      </c>
      <c r="R310" s="65"/>
    </row>
    <row r="311" spans="1:18" s="66" customFormat="1">
      <c r="A311" s="67">
        <v>310</v>
      </c>
      <c r="B311" s="78" t="s">
        <v>574</v>
      </c>
      <c r="C311" s="79" t="s">
        <v>575</v>
      </c>
      <c r="D311" s="79" t="s">
        <v>19</v>
      </c>
      <c r="E311" s="68">
        <v>56994</v>
      </c>
      <c r="F311" s="68">
        <v>74320</v>
      </c>
      <c r="G311" s="68">
        <v>47920</v>
      </c>
      <c r="H311" s="68">
        <v>2000</v>
      </c>
      <c r="I311" s="68">
        <v>55600</v>
      </c>
      <c r="J311" s="68">
        <v>12800</v>
      </c>
      <c r="K311" s="68">
        <v>74100</v>
      </c>
      <c r="L311" s="68">
        <v>84100</v>
      </c>
      <c r="M311" s="68">
        <v>0</v>
      </c>
      <c r="N311" s="68">
        <v>121742.5</v>
      </c>
      <c r="O311" s="68">
        <v>0</v>
      </c>
      <c r="P311" s="68">
        <v>0</v>
      </c>
      <c r="Q311" s="68">
        <f>SUM(E311:P311)</f>
        <v>529576.5</v>
      </c>
      <c r="R311" s="65"/>
    </row>
    <row r="312" spans="1:18" s="66" customFormat="1" ht="30.75">
      <c r="A312" s="67">
        <v>311</v>
      </c>
      <c r="B312" s="78" t="s">
        <v>576</v>
      </c>
      <c r="C312" s="79" t="s">
        <v>577</v>
      </c>
      <c r="D312" s="79" t="s">
        <v>107</v>
      </c>
      <c r="E312" s="68">
        <v>0</v>
      </c>
      <c r="F312" s="68">
        <v>0</v>
      </c>
      <c r="G312" s="68">
        <v>0</v>
      </c>
      <c r="H312" s="68">
        <v>0</v>
      </c>
      <c r="I312" s="68">
        <v>0</v>
      </c>
      <c r="J312" s="68">
        <v>3150</v>
      </c>
      <c r="K312" s="68">
        <v>0</v>
      </c>
      <c r="L312" s="68">
        <v>0</v>
      </c>
      <c r="M312" s="68">
        <v>0</v>
      </c>
      <c r="N312" s="68">
        <v>0</v>
      </c>
      <c r="O312" s="68">
        <v>0</v>
      </c>
      <c r="P312" s="68">
        <v>0</v>
      </c>
      <c r="Q312" s="68">
        <f>SUM(E312:P312)</f>
        <v>3150</v>
      </c>
      <c r="R312" s="65"/>
    </row>
    <row r="313" spans="1:18" s="66" customFormat="1">
      <c r="A313" s="67">
        <v>312</v>
      </c>
      <c r="B313" s="78" t="s">
        <v>578</v>
      </c>
      <c r="C313" s="79" t="s">
        <v>579</v>
      </c>
      <c r="D313" s="79" t="s">
        <v>19</v>
      </c>
      <c r="E313" s="68">
        <v>0</v>
      </c>
      <c r="F313" s="68">
        <v>0</v>
      </c>
      <c r="G313" s="68">
        <v>0</v>
      </c>
      <c r="H313" s="68">
        <v>0</v>
      </c>
      <c r="I313" s="68">
        <v>0</v>
      </c>
      <c r="J313" s="68">
        <v>0</v>
      </c>
      <c r="K313" s="68">
        <v>0</v>
      </c>
      <c r="L313" s="68">
        <v>30665</v>
      </c>
      <c r="M313" s="68">
        <v>0</v>
      </c>
      <c r="N313" s="68">
        <v>0</v>
      </c>
      <c r="O313" s="68">
        <v>0</v>
      </c>
      <c r="P313" s="68">
        <v>0</v>
      </c>
      <c r="Q313" s="68">
        <f>SUM(E313:P313)</f>
        <v>30665</v>
      </c>
      <c r="R313" s="65"/>
    </row>
    <row r="314" spans="1:18" s="66" customFormat="1">
      <c r="A314" s="67">
        <v>313</v>
      </c>
      <c r="B314" s="78" t="s">
        <v>580</v>
      </c>
      <c r="C314" s="79" t="s">
        <v>581</v>
      </c>
      <c r="D314" s="79" t="s">
        <v>177</v>
      </c>
      <c r="E314" s="68">
        <v>0</v>
      </c>
      <c r="F314" s="68">
        <v>0</v>
      </c>
      <c r="G314" s="68">
        <v>0</v>
      </c>
      <c r="H314" s="68">
        <v>0</v>
      </c>
      <c r="I314" s="68">
        <v>6200</v>
      </c>
      <c r="J314" s="68">
        <v>0</v>
      </c>
      <c r="K314" s="68">
        <v>0</v>
      </c>
      <c r="L314" s="68">
        <v>0</v>
      </c>
      <c r="M314" s="68">
        <v>0</v>
      </c>
      <c r="N314" s="68">
        <v>0</v>
      </c>
      <c r="O314" s="68">
        <v>0</v>
      </c>
      <c r="P314" s="68">
        <v>0</v>
      </c>
      <c r="Q314" s="68">
        <f>SUM(E314:P314)</f>
        <v>6200</v>
      </c>
      <c r="R314" s="65"/>
    </row>
    <row r="315" spans="1:18" s="66" customFormat="1">
      <c r="A315" s="67">
        <v>314</v>
      </c>
      <c r="B315" s="78" t="s">
        <v>582</v>
      </c>
      <c r="C315" s="79" t="s">
        <v>23</v>
      </c>
      <c r="D315" s="79" t="s">
        <v>30</v>
      </c>
      <c r="E315" s="68">
        <v>0</v>
      </c>
      <c r="F315" s="68">
        <v>0</v>
      </c>
      <c r="G315" s="68">
        <v>0</v>
      </c>
      <c r="H315" s="68">
        <v>0</v>
      </c>
      <c r="I315" s="68">
        <v>0</v>
      </c>
      <c r="J315" s="68">
        <v>0</v>
      </c>
      <c r="K315" s="68">
        <v>0</v>
      </c>
      <c r="L315" s="68">
        <v>0</v>
      </c>
      <c r="M315" s="68">
        <v>0</v>
      </c>
      <c r="N315" s="68">
        <v>9600</v>
      </c>
      <c r="O315" s="68">
        <v>0</v>
      </c>
      <c r="P315" s="68">
        <v>0</v>
      </c>
      <c r="Q315" s="68">
        <f>SUM(E315:P315)</f>
        <v>9600</v>
      </c>
      <c r="R315" s="65"/>
    </row>
    <row r="316" spans="1:18" s="66" customFormat="1" ht="30.75">
      <c r="A316" s="67">
        <v>315</v>
      </c>
      <c r="B316" s="78" t="s">
        <v>583</v>
      </c>
      <c r="C316" s="79" t="s">
        <v>584</v>
      </c>
      <c r="D316" s="79" t="s">
        <v>177</v>
      </c>
      <c r="E316" s="68">
        <v>0</v>
      </c>
      <c r="F316" s="68">
        <v>0</v>
      </c>
      <c r="G316" s="68">
        <v>0</v>
      </c>
      <c r="H316" s="68">
        <v>0</v>
      </c>
      <c r="I316" s="68">
        <v>0</v>
      </c>
      <c r="J316" s="68">
        <v>0</v>
      </c>
      <c r="K316" s="68">
        <v>0</v>
      </c>
      <c r="L316" s="68">
        <v>0</v>
      </c>
      <c r="M316" s="68">
        <v>39000</v>
      </c>
      <c r="N316" s="68">
        <v>0</v>
      </c>
      <c r="O316" s="68">
        <v>0</v>
      </c>
      <c r="P316" s="68">
        <v>0</v>
      </c>
      <c r="Q316" s="68">
        <f>SUM(E316:P316)</f>
        <v>39000</v>
      </c>
      <c r="R316" s="65"/>
    </row>
    <row r="317" spans="1:18" s="66" customFormat="1">
      <c r="A317" s="67">
        <v>316</v>
      </c>
      <c r="B317" s="78" t="s">
        <v>585</v>
      </c>
      <c r="C317" s="79" t="s">
        <v>23</v>
      </c>
      <c r="D317" s="79" t="s">
        <v>30</v>
      </c>
      <c r="E317" s="68">
        <v>0</v>
      </c>
      <c r="F317" s="68">
        <v>0</v>
      </c>
      <c r="G317" s="68">
        <v>0</v>
      </c>
      <c r="H317" s="68">
        <v>0</v>
      </c>
      <c r="I317" s="68">
        <v>0</v>
      </c>
      <c r="J317" s="68">
        <v>0</v>
      </c>
      <c r="K317" s="68">
        <v>0</v>
      </c>
      <c r="L317" s="68">
        <v>3500</v>
      </c>
      <c r="M317" s="68">
        <v>0</v>
      </c>
      <c r="N317" s="68">
        <v>0</v>
      </c>
      <c r="O317" s="68">
        <v>0</v>
      </c>
      <c r="P317" s="68">
        <v>0</v>
      </c>
      <c r="Q317" s="68">
        <f>SUM(E317:P317)</f>
        <v>3500</v>
      </c>
      <c r="R317" s="65"/>
    </row>
    <row r="318" spans="1:18" s="66" customFormat="1" ht="30.75">
      <c r="A318" s="67">
        <v>317</v>
      </c>
      <c r="B318" s="78" t="s">
        <v>586</v>
      </c>
      <c r="C318" s="79" t="s">
        <v>587</v>
      </c>
      <c r="D318" s="79" t="s">
        <v>257</v>
      </c>
      <c r="E318" s="68">
        <v>0</v>
      </c>
      <c r="F318" s="68">
        <v>0</v>
      </c>
      <c r="G318" s="68">
        <v>0</v>
      </c>
      <c r="H318" s="68">
        <v>0</v>
      </c>
      <c r="I318" s="68">
        <v>0</v>
      </c>
      <c r="J318" s="68">
        <v>0</v>
      </c>
      <c r="K318" s="68">
        <v>0</v>
      </c>
      <c r="L318" s="68">
        <v>5000</v>
      </c>
      <c r="M318" s="68">
        <v>13500</v>
      </c>
      <c r="N318" s="68">
        <v>0</v>
      </c>
      <c r="O318" s="68">
        <v>9000</v>
      </c>
      <c r="P318" s="68">
        <v>27000</v>
      </c>
      <c r="Q318" s="68">
        <f>SUM(E318:P318)</f>
        <v>54500</v>
      </c>
      <c r="R318" s="65"/>
    </row>
    <row r="319" spans="1:18" s="66" customFormat="1">
      <c r="A319" s="67">
        <v>318</v>
      </c>
      <c r="B319" s="78" t="s">
        <v>588</v>
      </c>
      <c r="C319" s="79" t="s">
        <v>23</v>
      </c>
      <c r="D319" s="79" t="s">
        <v>30</v>
      </c>
      <c r="E319" s="68">
        <v>0</v>
      </c>
      <c r="F319" s="68">
        <v>2450</v>
      </c>
      <c r="G319" s="68">
        <v>4900</v>
      </c>
      <c r="H319" s="68">
        <v>4900</v>
      </c>
      <c r="I319" s="68">
        <v>7350</v>
      </c>
      <c r="J319" s="68">
        <v>9800</v>
      </c>
      <c r="K319" s="68">
        <v>0</v>
      </c>
      <c r="L319" s="68">
        <v>4900</v>
      </c>
      <c r="M319" s="68">
        <v>0</v>
      </c>
      <c r="N319" s="68">
        <v>0</v>
      </c>
      <c r="O319" s="68">
        <v>0</v>
      </c>
      <c r="P319" s="68">
        <v>0</v>
      </c>
      <c r="Q319" s="68">
        <f>SUM(E319:P319)</f>
        <v>34300</v>
      </c>
      <c r="R319" s="65"/>
    </row>
    <row r="320" spans="1:18" s="66" customFormat="1">
      <c r="A320" s="67">
        <v>319</v>
      </c>
      <c r="B320" s="78" t="s">
        <v>589</v>
      </c>
      <c r="C320" s="79" t="s">
        <v>23</v>
      </c>
      <c r="D320" s="79" t="s">
        <v>30</v>
      </c>
      <c r="E320" s="68">
        <v>0</v>
      </c>
      <c r="F320" s="68">
        <v>0</v>
      </c>
      <c r="G320" s="68">
        <v>0</v>
      </c>
      <c r="H320" s="68">
        <v>0</v>
      </c>
      <c r="I320" s="68">
        <v>0</v>
      </c>
      <c r="J320" s="68">
        <v>0</v>
      </c>
      <c r="K320" s="68">
        <v>0</v>
      </c>
      <c r="L320" s="68">
        <v>0</v>
      </c>
      <c r="M320" s="68">
        <v>0</v>
      </c>
      <c r="N320" s="68">
        <v>0</v>
      </c>
      <c r="O320" s="68">
        <v>11500</v>
      </c>
      <c r="P320" s="68">
        <v>0</v>
      </c>
      <c r="Q320" s="68">
        <f>SUM(E320:P320)</f>
        <v>11500</v>
      </c>
      <c r="R320" s="65"/>
    </row>
    <row r="321" spans="1:18" s="66" customFormat="1">
      <c r="A321" s="67">
        <v>320</v>
      </c>
      <c r="B321" s="78" t="s">
        <v>590</v>
      </c>
      <c r="C321" s="79" t="s">
        <v>591</v>
      </c>
      <c r="D321" s="79" t="s">
        <v>19</v>
      </c>
      <c r="E321" s="68">
        <v>0</v>
      </c>
      <c r="F321" s="68">
        <v>0</v>
      </c>
      <c r="G321" s="68">
        <v>0</v>
      </c>
      <c r="H321" s="68">
        <v>5800</v>
      </c>
      <c r="I321" s="68">
        <v>3900</v>
      </c>
      <c r="J321" s="68">
        <v>0</v>
      </c>
      <c r="K321" s="68">
        <v>7800</v>
      </c>
      <c r="L321" s="68">
        <v>3900</v>
      </c>
      <c r="M321" s="68">
        <v>0</v>
      </c>
      <c r="N321" s="68">
        <v>5800</v>
      </c>
      <c r="O321" s="68">
        <v>3300</v>
      </c>
      <c r="P321" s="68">
        <v>7500</v>
      </c>
      <c r="Q321" s="68">
        <f>SUM(E321:P321)</f>
        <v>38000</v>
      </c>
      <c r="R321" s="65"/>
    </row>
    <row r="322" spans="1:18" s="66" customFormat="1">
      <c r="A322" s="67">
        <v>321</v>
      </c>
      <c r="B322" s="78" t="s">
        <v>592</v>
      </c>
      <c r="C322" s="79" t="s">
        <v>593</v>
      </c>
      <c r="D322" s="79" t="s">
        <v>107</v>
      </c>
      <c r="E322" s="68">
        <v>0</v>
      </c>
      <c r="F322" s="68">
        <v>0</v>
      </c>
      <c r="G322" s="68">
        <v>0</v>
      </c>
      <c r="H322" s="68">
        <v>2800</v>
      </c>
      <c r="I322" s="68">
        <v>0</v>
      </c>
      <c r="J322" s="68">
        <v>0</v>
      </c>
      <c r="K322" s="68">
        <v>0</v>
      </c>
      <c r="L322" s="68">
        <v>0</v>
      </c>
      <c r="M322" s="68">
        <v>0</v>
      </c>
      <c r="N322" s="68">
        <v>0</v>
      </c>
      <c r="O322" s="68">
        <v>0</v>
      </c>
      <c r="P322" s="68">
        <v>0</v>
      </c>
      <c r="Q322" s="68">
        <f>SUM(E322:P322)</f>
        <v>2800</v>
      </c>
      <c r="R322" s="65"/>
    </row>
    <row r="323" spans="1:18" s="66" customFormat="1" ht="30.75">
      <c r="A323" s="67">
        <v>322</v>
      </c>
      <c r="B323" s="78" t="s">
        <v>594</v>
      </c>
      <c r="C323" s="79" t="s">
        <v>595</v>
      </c>
      <c r="D323" s="79" t="s">
        <v>135</v>
      </c>
      <c r="E323" s="68">
        <v>0</v>
      </c>
      <c r="F323" s="68">
        <v>0</v>
      </c>
      <c r="G323" s="68">
        <v>0</v>
      </c>
      <c r="H323" s="68">
        <v>0</v>
      </c>
      <c r="I323" s="68">
        <v>0</v>
      </c>
      <c r="J323" s="68">
        <v>0</v>
      </c>
      <c r="K323" s="68">
        <v>0</v>
      </c>
      <c r="L323" s="68">
        <v>0</v>
      </c>
      <c r="M323" s="68">
        <v>0</v>
      </c>
      <c r="N323" s="68">
        <v>24000</v>
      </c>
      <c r="O323" s="68">
        <v>0</v>
      </c>
      <c r="P323" s="68">
        <v>0</v>
      </c>
      <c r="Q323" s="68">
        <f>SUM(E323:P323)</f>
        <v>24000</v>
      </c>
      <c r="R323" s="65"/>
    </row>
    <row r="324" spans="1:18" s="66" customFormat="1">
      <c r="A324" s="67">
        <v>323</v>
      </c>
      <c r="B324" s="78" t="s">
        <v>596</v>
      </c>
      <c r="C324" s="79" t="s">
        <v>597</v>
      </c>
      <c r="D324" s="79" t="s">
        <v>69</v>
      </c>
      <c r="E324" s="68">
        <v>33741</v>
      </c>
      <c r="F324" s="68">
        <v>0</v>
      </c>
      <c r="G324" s="68">
        <v>0</v>
      </c>
      <c r="H324" s="68">
        <v>0</v>
      </c>
      <c r="I324" s="68">
        <v>0</v>
      </c>
      <c r="J324" s="68">
        <v>0</v>
      </c>
      <c r="K324" s="68">
        <v>0</v>
      </c>
      <c r="L324" s="68">
        <v>0</v>
      </c>
      <c r="M324" s="68">
        <v>0</v>
      </c>
      <c r="N324" s="68">
        <v>0</v>
      </c>
      <c r="O324" s="68">
        <v>15840</v>
      </c>
      <c r="P324" s="68">
        <v>0</v>
      </c>
      <c r="Q324" s="68">
        <f>SUM(E324:P324)</f>
        <v>49581</v>
      </c>
      <c r="R324" s="65"/>
    </row>
    <row r="325" spans="1:18" s="66" customFormat="1">
      <c r="A325" s="67">
        <v>324</v>
      </c>
      <c r="B325" s="78" t="s">
        <v>598</v>
      </c>
      <c r="C325" s="79" t="s">
        <v>599</v>
      </c>
      <c r="D325" s="79" t="s">
        <v>28</v>
      </c>
      <c r="E325" s="68">
        <v>0</v>
      </c>
      <c r="F325" s="68">
        <v>0</v>
      </c>
      <c r="G325" s="68">
        <v>0</v>
      </c>
      <c r="H325" s="68">
        <v>0</v>
      </c>
      <c r="I325" s="68">
        <v>35250</v>
      </c>
      <c r="J325" s="68">
        <v>0</v>
      </c>
      <c r="K325" s="68">
        <v>0</v>
      </c>
      <c r="L325" s="68">
        <v>0</v>
      </c>
      <c r="M325" s="68">
        <v>0</v>
      </c>
      <c r="N325" s="68">
        <v>0</v>
      </c>
      <c r="O325" s="68">
        <v>0</v>
      </c>
      <c r="P325" s="68">
        <v>0</v>
      </c>
      <c r="Q325" s="68">
        <f>SUM(E325:P325)</f>
        <v>35250</v>
      </c>
      <c r="R325" s="65"/>
    </row>
    <row r="326" spans="1:18" s="66" customFormat="1">
      <c r="A326" s="67">
        <v>325</v>
      </c>
      <c r="B326" s="78" t="s">
        <v>600</v>
      </c>
      <c r="C326" s="79" t="s">
        <v>601</v>
      </c>
      <c r="D326" s="79" t="s">
        <v>177</v>
      </c>
      <c r="E326" s="68">
        <v>0</v>
      </c>
      <c r="F326" s="68">
        <v>0</v>
      </c>
      <c r="G326" s="68">
        <v>0</v>
      </c>
      <c r="H326" s="68">
        <v>0</v>
      </c>
      <c r="I326" s="68">
        <v>0</v>
      </c>
      <c r="J326" s="68">
        <v>4050</v>
      </c>
      <c r="K326" s="68">
        <v>0</v>
      </c>
      <c r="L326" s="68">
        <v>0</v>
      </c>
      <c r="M326" s="68">
        <v>0</v>
      </c>
      <c r="N326" s="68">
        <v>0</v>
      </c>
      <c r="O326" s="68">
        <v>0</v>
      </c>
      <c r="P326" s="68">
        <v>0</v>
      </c>
      <c r="Q326" s="68">
        <f>SUM(E326:P326)</f>
        <v>4050</v>
      </c>
      <c r="R326" s="65"/>
    </row>
    <row r="327" spans="1:18" s="66" customFormat="1">
      <c r="A327" s="67">
        <v>326</v>
      </c>
      <c r="B327" s="78" t="s">
        <v>602</v>
      </c>
      <c r="C327" s="79" t="s">
        <v>603</v>
      </c>
      <c r="D327" s="79" t="s">
        <v>90</v>
      </c>
      <c r="E327" s="68">
        <v>750</v>
      </c>
      <c r="F327" s="68">
        <v>0</v>
      </c>
      <c r="G327" s="68">
        <v>0</v>
      </c>
      <c r="H327" s="68">
        <v>0</v>
      </c>
      <c r="I327" s="68">
        <v>0</v>
      </c>
      <c r="J327" s="68">
        <v>0</v>
      </c>
      <c r="K327" s="68">
        <v>0</v>
      </c>
      <c r="L327" s="68">
        <v>0</v>
      </c>
      <c r="M327" s="68">
        <v>0</v>
      </c>
      <c r="N327" s="68">
        <v>750</v>
      </c>
      <c r="O327" s="68">
        <v>0</v>
      </c>
      <c r="P327" s="68">
        <v>0</v>
      </c>
      <c r="Q327" s="68">
        <f>SUM(E327:P327)</f>
        <v>1500</v>
      </c>
      <c r="R327" s="65"/>
    </row>
    <row r="328" spans="1:18" s="66" customFormat="1">
      <c r="A328" s="67">
        <v>327</v>
      </c>
      <c r="B328" s="78" t="s">
        <v>604</v>
      </c>
      <c r="C328" s="79" t="s">
        <v>605</v>
      </c>
      <c r="D328" s="79" t="s">
        <v>135</v>
      </c>
      <c r="E328" s="68">
        <v>0</v>
      </c>
      <c r="F328" s="68">
        <v>0</v>
      </c>
      <c r="G328" s="68">
        <v>0</v>
      </c>
      <c r="H328" s="68">
        <v>0</v>
      </c>
      <c r="I328" s="68">
        <v>0</v>
      </c>
      <c r="J328" s="68">
        <v>18300</v>
      </c>
      <c r="K328" s="68">
        <v>0</v>
      </c>
      <c r="L328" s="68">
        <v>0</v>
      </c>
      <c r="M328" s="68">
        <v>0</v>
      </c>
      <c r="N328" s="68">
        <v>0</v>
      </c>
      <c r="O328" s="68">
        <v>0</v>
      </c>
      <c r="P328" s="68">
        <v>0</v>
      </c>
      <c r="Q328" s="68">
        <f>SUM(E328:P328)</f>
        <v>18300</v>
      </c>
      <c r="R328" s="65"/>
    </row>
    <row r="329" spans="1:18" s="66" customFormat="1">
      <c r="A329" s="67">
        <v>328</v>
      </c>
      <c r="B329" s="78" t="s">
        <v>606</v>
      </c>
      <c r="C329" s="79" t="s">
        <v>607</v>
      </c>
      <c r="D329" s="79" t="s">
        <v>151</v>
      </c>
      <c r="E329" s="68">
        <v>0</v>
      </c>
      <c r="F329" s="68">
        <v>0</v>
      </c>
      <c r="G329" s="68">
        <v>0</v>
      </c>
      <c r="H329" s="68">
        <v>3150</v>
      </c>
      <c r="I329" s="68">
        <v>0</v>
      </c>
      <c r="J329" s="68">
        <v>0</v>
      </c>
      <c r="K329" s="68">
        <v>0</v>
      </c>
      <c r="L329" s="68">
        <v>0</v>
      </c>
      <c r="M329" s="68">
        <v>0</v>
      </c>
      <c r="N329" s="68">
        <v>0</v>
      </c>
      <c r="O329" s="68">
        <v>0</v>
      </c>
      <c r="P329" s="68">
        <v>0</v>
      </c>
      <c r="Q329" s="68">
        <f>SUM(E329:P329)</f>
        <v>3150</v>
      </c>
      <c r="R329" s="65"/>
    </row>
    <row r="330" spans="1:18" s="66" customFormat="1">
      <c r="A330" s="67">
        <v>329</v>
      </c>
      <c r="B330" s="78" t="s">
        <v>608</v>
      </c>
      <c r="C330" s="79" t="s">
        <v>609</v>
      </c>
      <c r="D330" s="79" t="s">
        <v>19</v>
      </c>
      <c r="E330" s="68">
        <v>0</v>
      </c>
      <c r="F330" s="68">
        <v>0</v>
      </c>
      <c r="G330" s="68">
        <v>0</v>
      </c>
      <c r="H330" s="68">
        <v>0</v>
      </c>
      <c r="I330" s="68">
        <v>0</v>
      </c>
      <c r="J330" s="68">
        <v>0</v>
      </c>
      <c r="K330" s="68">
        <v>480</v>
      </c>
      <c r="L330" s="68">
        <v>0</v>
      </c>
      <c r="M330" s="68">
        <v>0</v>
      </c>
      <c r="N330" s="68">
        <v>0</v>
      </c>
      <c r="O330" s="68">
        <v>0</v>
      </c>
      <c r="P330" s="68" t="s">
        <v>23</v>
      </c>
      <c r="Q330" s="68">
        <f>SUM(E330:P330)</f>
        <v>480</v>
      </c>
      <c r="R330" s="65"/>
    </row>
    <row r="331" spans="1:18" s="66" customFormat="1">
      <c r="A331" s="67">
        <v>330</v>
      </c>
      <c r="B331" s="78" t="s">
        <v>610</v>
      </c>
      <c r="C331" s="79" t="s">
        <v>611</v>
      </c>
      <c r="D331" s="79" t="s">
        <v>19</v>
      </c>
      <c r="E331" s="68">
        <v>0</v>
      </c>
      <c r="F331" s="68">
        <v>0</v>
      </c>
      <c r="G331" s="68">
        <v>0</v>
      </c>
      <c r="H331" s="68">
        <v>0</v>
      </c>
      <c r="I331" s="68">
        <v>0</v>
      </c>
      <c r="J331" s="68">
        <v>0</v>
      </c>
      <c r="K331" s="68">
        <v>0</v>
      </c>
      <c r="L331" s="68">
        <v>0</v>
      </c>
      <c r="M331" s="68">
        <v>0</v>
      </c>
      <c r="N331" s="68">
        <v>0</v>
      </c>
      <c r="O331" s="68">
        <v>0</v>
      </c>
      <c r="P331" s="68">
        <v>28900</v>
      </c>
      <c r="Q331" s="68">
        <f>SUM(E331:P331)</f>
        <v>28900</v>
      </c>
      <c r="R331" s="65"/>
    </row>
    <row r="332" spans="1:18" s="66" customFormat="1">
      <c r="A332" s="67">
        <v>331</v>
      </c>
      <c r="B332" s="78" t="s">
        <v>612</v>
      </c>
      <c r="C332" s="79" t="s">
        <v>613</v>
      </c>
      <c r="D332" s="79" t="s">
        <v>177</v>
      </c>
      <c r="E332" s="68">
        <v>0</v>
      </c>
      <c r="F332" s="68">
        <v>0</v>
      </c>
      <c r="G332" s="68">
        <v>0</v>
      </c>
      <c r="H332" s="68">
        <v>0</v>
      </c>
      <c r="I332" s="68">
        <v>0</v>
      </c>
      <c r="J332" s="68">
        <v>0</v>
      </c>
      <c r="K332" s="68">
        <v>0</v>
      </c>
      <c r="L332" s="68">
        <v>0</v>
      </c>
      <c r="M332" s="68">
        <v>0</v>
      </c>
      <c r="N332" s="68">
        <v>0</v>
      </c>
      <c r="O332" s="68">
        <v>670</v>
      </c>
      <c r="P332" s="68">
        <v>0</v>
      </c>
      <c r="Q332" s="68">
        <f>SUM(E332:P332)</f>
        <v>670</v>
      </c>
      <c r="R332" s="65"/>
    </row>
    <row r="333" spans="1:18" s="66" customFormat="1">
      <c r="A333" s="67">
        <v>332</v>
      </c>
      <c r="B333" s="78" t="s">
        <v>614</v>
      </c>
      <c r="C333" s="79" t="s">
        <v>615</v>
      </c>
      <c r="D333" s="79" t="s">
        <v>616</v>
      </c>
      <c r="E333" s="68">
        <v>0</v>
      </c>
      <c r="F333" s="68">
        <v>0</v>
      </c>
      <c r="G333" s="68">
        <v>0</v>
      </c>
      <c r="H333" s="68">
        <v>13630</v>
      </c>
      <c r="I333" s="68">
        <v>4655</v>
      </c>
      <c r="J333" s="68">
        <v>0</v>
      </c>
      <c r="K333" s="68">
        <v>9800</v>
      </c>
      <c r="L333" s="68">
        <v>0</v>
      </c>
      <c r="M333" s="68">
        <v>0</v>
      </c>
      <c r="N333" s="68">
        <v>0</v>
      </c>
      <c r="O333" s="68">
        <v>0</v>
      </c>
      <c r="P333" s="68">
        <v>0</v>
      </c>
      <c r="Q333" s="68">
        <f>SUM(E333:P333)</f>
        <v>28085</v>
      </c>
      <c r="R333" s="65"/>
    </row>
    <row r="334" spans="1:18" s="66" customFormat="1">
      <c r="A334" s="67">
        <v>333</v>
      </c>
      <c r="B334" s="78" t="s">
        <v>617</v>
      </c>
      <c r="C334" s="79" t="s">
        <v>618</v>
      </c>
      <c r="D334" s="79" t="s">
        <v>90</v>
      </c>
      <c r="E334" s="68">
        <v>0</v>
      </c>
      <c r="F334" s="68">
        <v>46000</v>
      </c>
      <c r="G334" s="68">
        <v>0</v>
      </c>
      <c r="H334" s="68">
        <v>0</v>
      </c>
      <c r="I334" s="68">
        <v>0</v>
      </c>
      <c r="J334" s="68">
        <v>0</v>
      </c>
      <c r="K334" s="68">
        <v>0</v>
      </c>
      <c r="L334" s="68">
        <v>0</v>
      </c>
      <c r="M334" s="68">
        <v>0</v>
      </c>
      <c r="N334" s="68">
        <v>0</v>
      </c>
      <c r="O334" s="68">
        <v>0</v>
      </c>
      <c r="P334" s="68">
        <v>0</v>
      </c>
      <c r="Q334" s="68">
        <f>SUM(E334:P334)</f>
        <v>46000</v>
      </c>
      <c r="R334" s="65"/>
    </row>
    <row r="335" spans="1:18" s="66" customFormat="1">
      <c r="A335" s="67">
        <v>334</v>
      </c>
      <c r="B335" s="78" t="s">
        <v>619</v>
      </c>
      <c r="C335" s="79" t="s">
        <v>620</v>
      </c>
      <c r="D335" s="79" t="s">
        <v>90</v>
      </c>
      <c r="E335" s="68">
        <v>0</v>
      </c>
      <c r="F335" s="68">
        <v>0</v>
      </c>
      <c r="G335" s="68">
        <v>0</v>
      </c>
      <c r="H335" s="68">
        <v>0</v>
      </c>
      <c r="I335" s="68">
        <v>0</v>
      </c>
      <c r="J335" s="68">
        <v>0</v>
      </c>
      <c r="K335" s="68">
        <v>0</v>
      </c>
      <c r="L335" s="68">
        <v>63115</v>
      </c>
      <c r="M335" s="68">
        <v>0</v>
      </c>
      <c r="N335" s="68">
        <v>0</v>
      </c>
      <c r="O335" s="68">
        <v>0</v>
      </c>
      <c r="P335" s="68">
        <v>0</v>
      </c>
      <c r="Q335" s="68">
        <f>SUM(E335:P335)</f>
        <v>63115</v>
      </c>
      <c r="R335" s="65"/>
    </row>
    <row r="336" spans="1:18" s="66" customFormat="1">
      <c r="A336" s="67">
        <v>335</v>
      </c>
      <c r="B336" s="78" t="s">
        <v>621</v>
      </c>
      <c r="C336" s="79" t="s">
        <v>622</v>
      </c>
      <c r="D336" s="79" t="s">
        <v>277</v>
      </c>
      <c r="E336" s="68">
        <v>0</v>
      </c>
      <c r="F336" s="68">
        <v>0</v>
      </c>
      <c r="G336" s="68">
        <v>0</v>
      </c>
      <c r="H336" s="68">
        <v>0</v>
      </c>
      <c r="I336" s="68">
        <v>35225</v>
      </c>
      <c r="J336" s="68">
        <v>7650</v>
      </c>
      <c r="K336" s="68">
        <v>0</v>
      </c>
      <c r="L336" s="68">
        <v>0</v>
      </c>
      <c r="M336" s="68">
        <v>0</v>
      </c>
      <c r="N336" s="68">
        <v>0</v>
      </c>
      <c r="O336" s="68">
        <v>0</v>
      </c>
      <c r="P336" s="68">
        <v>0</v>
      </c>
      <c r="Q336" s="68">
        <f>SUM(E336:P336)</f>
        <v>42875</v>
      </c>
      <c r="R336" s="65"/>
    </row>
    <row r="337" spans="1:18" s="66" customFormat="1">
      <c r="A337" s="67">
        <v>336</v>
      </c>
      <c r="B337" s="78" t="s">
        <v>623</v>
      </c>
      <c r="C337" s="79" t="s">
        <v>624</v>
      </c>
      <c r="D337" s="79" t="s">
        <v>19</v>
      </c>
      <c r="E337" s="68">
        <v>104160</v>
      </c>
      <c r="F337" s="68">
        <v>0</v>
      </c>
      <c r="G337" s="68">
        <v>0</v>
      </c>
      <c r="H337" s="68">
        <v>0</v>
      </c>
      <c r="I337" s="68">
        <v>0</v>
      </c>
      <c r="J337" s="68">
        <v>0</v>
      </c>
      <c r="K337" s="68">
        <v>0</v>
      </c>
      <c r="L337" s="68">
        <v>0</v>
      </c>
      <c r="M337" s="68">
        <v>0</v>
      </c>
      <c r="N337" s="68">
        <v>0</v>
      </c>
      <c r="O337" s="68">
        <v>0</v>
      </c>
      <c r="P337" s="68">
        <v>0</v>
      </c>
      <c r="Q337" s="68">
        <f>SUM(E337:P337)</f>
        <v>104160</v>
      </c>
      <c r="R337" s="65"/>
    </row>
    <row r="338" spans="1:18" s="66" customFormat="1">
      <c r="A338" s="67">
        <v>337</v>
      </c>
      <c r="B338" s="78" t="s">
        <v>625</v>
      </c>
      <c r="C338" s="79" t="s">
        <v>626</v>
      </c>
      <c r="D338" s="79" t="s">
        <v>90</v>
      </c>
      <c r="E338" s="68">
        <v>0</v>
      </c>
      <c r="F338" s="68">
        <v>0</v>
      </c>
      <c r="G338" s="68">
        <v>0</v>
      </c>
      <c r="H338" s="68">
        <v>0</v>
      </c>
      <c r="I338" s="68">
        <v>1250</v>
      </c>
      <c r="J338" s="68">
        <v>0</v>
      </c>
      <c r="K338" s="68">
        <v>0</v>
      </c>
      <c r="L338" s="68">
        <v>0</v>
      </c>
      <c r="M338" s="68">
        <v>0</v>
      </c>
      <c r="N338" s="68">
        <v>0</v>
      </c>
      <c r="O338" s="68">
        <v>0</v>
      </c>
      <c r="P338" s="68">
        <v>0</v>
      </c>
      <c r="Q338" s="68">
        <f>SUM(E338:P338)</f>
        <v>1250</v>
      </c>
      <c r="R338" s="65"/>
    </row>
    <row r="339" spans="1:18" s="66" customFormat="1">
      <c r="A339" s="67">
        <v>338</v>
      </c>
      <c r="B339" s="78" t="s">
        <v>627</v>
      </c>
      <c r="C339" s="79" t="s">
        <v>628</v>
      </c>
      <c r="D339" s="79" t="s">
        <v>19</v>
      </c>
      <c r="E339" s="68">
        <v>4800</v>
      </c>
      <c r="F339" s="68">
        <v>4800</v>
      </c>
      <c r="G339" s="68">
        <v>4800</v>
      </c>
      <c r="H339" s="68">
        <v>16592</v>
      </c>
      <c r="I339" s="68">
        <v>0</v>
      </c>
      <c r="J339" s="68">
        <v>9600</v>
      </c>
      <c r="K339" s="68">
        <v>17000</v>
      </c>
      <c r="L339" s="68">
        <v>54500</v>
      </c>
      <c r="M339" s="68">
        <v>21650</v>
      </c>
      <c r="N339" s="68">
        <v>9600</v>
      </c>
      <c r="O339" s="68">
        <v>48400</v>
      </c>
      <c r="P339" s="68">
        <v>0</v>
      </c>
      <c r="Q339" s="68">
        <f>SUM(E339:P339)</f>
        <v>191742</v>
      </c>
      <c r="R339" s="65"/>
    </row>
    <row r="340" spans="1:18" s="66" customFormat="1">
      <c r="A340" s="67">
        <v>339</v>
      </c>
      <c r="B340" s="78" t="s">
        <v>629</v>
      </c>
      <c r="C340" s="79" t="s">
        <v>630</v>
      </c>
      <c r="D340" s="79" t="s">
        <v>19</v>
      </c>
      <c r="E340" s="68">
        <v>0</v>
      </c>
      <c r="F340" s="68">
        <v>0</v>
      </c>
      <c r="G340" s="68">
        <v>0</v>
      </c>
      <c r="H340" s="68">
        <v>0</v>
      </c>
      <c r="I340" s="68">
        <v>0</v>
      </c>
      <c r="J340" s="68">
        <v>0</v>
      </c>
      <c r="K340" s="68">
        <v>0</v>
      </c>
      <c r="L340" s="68">
        <v>0</v>
      </c>
      <c r="M340" s="68">
        <v>0</v>
      </c>
      <c r="N340" s="68">
        <v>1900</v>
      </c>
      <c r="O340" s="68">
        <v>0</v>
      </c>
      <c r="P340" s="68">
        <v>0</v>
      </c>
      <c r="Q340" s="68">
        <f>SUM(E340:P340)</f>
        <v>1900</v>
      </c>
      <c r="R340" s="65"/>
    </row>
    <row r="341" spans="1:18" s="66" customFormat="1">
      <c r="A341" s="67">
        <v>340</v>
      </c>
      <c r="B341" s="78" t="s">
        <v>631</v>
      </c>
      <c r="C341" s="79" t="s">
        <v>23</v>
      </c>
      <c r="D341" s="79" t="s">
        <v>30</v>
      </c>
      <c r="E341" s="68">
        <v>2500</v>
      </c>
      <c r="F341" s="68">
        <v>2500.4</v>
      </c>
      <c r="G341" s="68">
        <v>2500.4</v>
      </c>
      <c r="H341" s="68">
        <v>0</v>
      </c>
      <c r="I341" s="68">
        <v>0</v>
      </c>
      <c r="J341" s="68">
        <v>0</v>
      </c>
      <c r="K341" s="68">
        <v>0</v>
      </c>
      <c r="L341" s="68">
        <v>0</v>
      </c>
      <c r="M341" s="68">
        <v>0</v>
      </c>
      <c r="N341" s="68">
        <v>0</v>
      </c>
      <c r="O341" s="68">
        <v>0</v>
      </c>
      <c r="P341" s="68">
        <v>0</v>
      </c>
      <c r="Q341" s="68">
        <f>SUM(E341:P341)</f>
        <v>7500.7999999999993</v>
      </c>
      <c r="R341" s="65"/>
    </row>
    <row r="342" spans="1:18" s="66" customFormat="1">
      <c r="A342" s="67">
        <v>341</v>
      </c>
      <c r="B342" s="78" t="s">
        <v>632</v>
      </c>
      <c r="C342" s="79" t="s">
        <v>633</v>
      </c>
      <c r="D342" s="79" t="s">
        <v>252</v>
      </c>
      <c r="E342" s="68">
        <v>0</v>
      </c>
      <c r="F342" s="68">
        <v>0</v>
      </c>
      <c r="G342" s="68">
        <v>0</v>
      </c>
      <c r="H342" s="68">
        <v>0</v>
      </c>
      <c r="I342" s="68">
        <v>0</v>
      </c>
      <c r="J342" s="68">
        <v>0</v>
      </c>
      <c r="K342" s="68">
        <v>0</v>
      </c>
      <c r="L342" s="68">
        <v>0</v>
      </c>
      <c r="M342" s="68">
        <v>7800</v>
      </c>
      <c r="N342" s="68">
        <v>0</v>
      </c>
      <c r="O342" s="68">
        <v>19050</v>
      </c>
      <c r="P342" s="68">
        <v>25000</v>
      </c>
      <c r="Q342" s="68">
        <f>SUM(E342:P342)</f>
        <v>51850</v>
      </c>
      <c r="R342" s="65"/>
    </row>
    <row r="343" spans="1:18" s="66" customFormat="1">
      <c r="A343" s="67">
        <v>342</v>
      </c>
      <c r="B343" s="78" t="s">
        <v>634</v>
      </c>
      <c r="C343" s="79" t="s">
        <v>23</v>
      </c>
      <c r="D343" s="79" t="s">
        <v>30</v>
      </c>
      <c r="E343" s="68">
        <v>0</v>
      </c>
      <c r="F343" s="68">
        <v>0</v>
      </c>
      <c r="G343" s="68">
        <v>0</v>
      </c>
      <c r="H343" s="68">
        <v>0</v>
      </c>
      <c r="I343" s="68">
        <v>0</v>
      </c>
      <c r="J343" s="68">
        <v>0</v>
      </c>
      <c r="K343" s="68">
        <v>0</v>
      </c>
      <c r="L343" s="68">
        <v>0</v>
      </c>
      <c r="M343" s="68">
        <v>0</v>
      </c>
      <c r="N343" s="68">
        <v>0</v>
      </c>
      <c r="O343" s="68">
        <v>17180</v>
      </c>
      <c r="P343" s="68">
        <v>0</v>
      </c>
      <c r="Q343" s="68">
        <f>SUM(E343:P343)</f>
        <v>17180</v>
      </c>
      <c r="R343" s="65"/>
    </row>
    <row r="344" spans="1:18" s="66" customFormat="1">
      <c r="A344" s="67">
        <v>343</v>
      </c>
      <c r="B344" s="78" t="s">
        <v>635</v>
      </c>
      <c r="C344" s="79" t="s">
        <v>23</v>
      </c>
      <c r="D344" s="79" t="s">
        <v>30</v>
      </c>
      <c r="E344" s="68">
        <v>0</v>
      </c>
      <c r="F344" s="68">
        <v>0</v>
      </c>
      <c r="G344" s="68">
        <v>0</v>
      </c>
      <c r="H344" s="68">
        <v>0</v>
      </c>
      <c r="I344" s="68">
        <v>1050</v>
      </c>
      <c r="J344" s="68">
        <v>1750</v>
      </c>
      <c r="K344" s="68">
        <v>0</v>
      </c>
      <c r="L344" s="68">
        <v>0</v>
      </c>
      <c r="M344" s="68">
        <v>0</v>
      </c>
      <c r="N344" s="68">
        <v>0</v>
      </c>
      <c r="O344" s="68">
        <v>0</v>
      </c>
      <c r="P344" s="68">
        <v>0</v>
      </c>
      <c r="Q344" s="68">
        <f>SUM(E344:P344)</f>
        <v>2800</v>
      </c>
      <c r="R344" s="65"/>
    </row>
    <row r="345" spans="1:18" s="66" customFormat="1">
      <c r="A345" s="67">
        <v>344</v>
      </c>
      <c r="B345" s="78" t="s">
        <v>636</v>
      </c>
      <c r="C345" s="79" t="s">
        <v>23</v>
      </c>
      <c r="D345" s="79" t="s">
        <v>30</v>
      </c>
      <c r="E345" s="68">
        <v>0</v>
      </c>
      <c r="F345" s="68">
        <v>3150</v>
      </c>
      <c r="G345" s="68">
        <v>0</v>
      </c>
      <c r="H345" s="68">
        <v>0</v>
      </c>
      <c r="I345" s="68">
        <v>0</v>
      </c>
      <c r="J345" s="68">
        <v>0</v>
      </c>
      <c r="K345" s="68">
        <v>0</v>
      </c>
      <c r="L345" s="68">
        <v>0</v>
      </c>
      <c r="M345" s="68">
        <v>0</v>
      </c>
      <c r="N345" s="68">
        <v>0</v>
      </c>
      <c r="O345" s="68">
        <v>0</v>
      </c>
      <c r="P345" s="68">
        <v>0</v>
      </c>
      <c r="Q345" s="68">
        <f>SUM(E345:P345)</f>
        <v>3150</v>
      </c>
      <c r="R345" s="65"/>
    </row>
    <row r="346" spans="1:18" s="66" customFormat="1">
      <c r="A346" s="67">
        <v>345</v>
      </c>
      <c r="B346" s="78" t="s">
        <v>637</v>
      </c>
      <c r="C346" s="79" t="s">
        <v>638</v>
      </c>
      <c r="D346" s="79" t="s">
        <v>19</v>
      </c>
      <c r="E346" s="68">
        <v>0</v>
      </c>
      <c r="F346" s="68">
        <v>0</v>
      </c>
      <c r="G346" s="68">
        <v>0</v>
      </c>
      <c r="H346" s="68">
        <v>0</v>
      </c>
      <c r="I346" s="68">
        <v>0</v>
      </c>
      <c r="J346" s="68">
        <v>0</v>
      </c>
      <c r="K346" s="68">
        <v>0</v>
      </c>
      <c r="L346" s="68">
        <v>0</v>
      </c>
      <c r="M346" s="68">
        <v>0</v>
      </c>
      <c r="N346" s="68">
        <v>0</v>
      </c>
      <c r="O346" s="68">
        <v>2640</v>
      </c>
      <c r="P346" s="68">
        <v>0</v>
      </c>
      <c r="Q346" s="68">
        <f>SUM(E346:P346)</f>
        <v>2640</v>
      </c>
      <c r="R346" s="65"/>
    </row>
    <row r="347" spans="1:18" s="66" customFormat="1">
      <c r="A347" s="67">
        <v>346</v>
      </c>
      <c r="B347" s="78" t="s">
        <v>639</v>
      </c>
      <c r="C347" s="79" t="s">
        <v>23</v>
      </c>
      <c r="D347" s="79" t="s">
        <v>30</v>
      </c>
      <c r="E347" s="68">
        <v>472</v>
      </c>
      <c r="F347" s="68">
        <v>0</v>
      </c>
      <c r="G347" s="68">
        <v>0</v>
      </c>
      <c r="H347" s="68">
        <v>0</v>
      </c>
      <c r="I347" s="68">
        <v>0</v>
      </c>
      <c r="J347" s="68">
        <v>0</v>
      </c>
      <c r="K347" s="68">
        <v>0</v>
      </c>
      <c r="L347" s="68">
        <v>0</v>
      </c>
      <c r="M347" s="68">
        <v>0</v>
      </c>
      <c r="N347" s="68">
        <v>0</v>
      </c>
      <c r="O347" s="68">
        <v>0</v>
      </c>
      <c r="P347" s="68">
        <v>0</v>
      </c>
      <c r="Q347" s="68">
        <f>SUM(E347:P347)</f>
        <v>472</v>
      </c>
      <c r="R347" s="65"/>
    </row>
    <row r="348" spans="1:18" s="66" customFormat="1">
      <c r="A348" s="67">
        <v>347</v>
      </c>
      <c r="B348" s="78" t="s">
        <v>640</v>
      </c>
      <c r="C348" s="79" t="s">
        <v>23</v>
      </c>
      <c r="D348" s="79" t="s">
        <v>30</v>
      </c>
      <c r="E348" s="68">
        <v>1669</v>
      </c>
      <c r="F348" s="68">
        <v>0</v>
      </c>
      <c r="G348" s="68">
        <v>0</v>
      </c>
      <c r="H348" s="68">
        <v>0</v>
      </c>
      <c r="I348" s="68">
        <v>0</v>
      </c>
      <c r="J348" s="68">
        <v>0</v>
      </c>
      <c r="K348" s="68">
        <v>0</v>
      </c>
      <c r="L348" s="68">
        <v>0</v>
      </c>
      <c r="M348" s="68">
        <v>0</v>
      </c>
      <c r="N348" s="68">
        <v>0</v>
      </c>
      <c r="O348" s="68">
        <v>0</v>
      </c>
      <c r="P348" s="68">
        <v>0</v>
      </c>
      <c r="Q348" s="68">
        <f>SUM(E348:P348)</f>
        <v>1669</v>
      </c>
      <c r="R348" s="65"/>
    </row>
    <row r="349" spans="1:18" s="66" customFormat="1">
      <c r="A349" s="67">
        <v>348</v>
      </c>
      <c r="B349" s="78" t="s">
        <v>641</v>
      </c>
      <c r="C349" s="79" t="s">
        <v>642</v>
      </c>
      <c r="D349" s="79" t="s">
        <v>19</v>
      </c>
      <c r="E349" s="68">
        <v>0</v>
      </c>
      <c r="F349" s="68">
        <v>0</v>
      </c>
      <c r="G349" s="68">
        <v>0</v>
      </c>
      <c r="H349" s="68">
        <v>0</v>
      </c>
      <c r="I349" s="68">
        <v>0</v>
      </c>
      <c r="J349" s="68">
        <v>0</v>
      </c>
      <c r="K349" s="68">
        <v>0</v>
      </c>
      <c r="L349" s="68">
        <v>0</v>
      </c>
      <c r="M349" s="68">
        <v>0</v>
      </c>
      <c r="N349" s="68">
        <v>4180</v>
      </c>
      <c r="O349" s="68">
        <v>0</v>
      </c>
      <c r="P349" s="68">
        <v>0</v>
      </c>
      <c r="Q349" s="68">
        <f>SUM(E349:P349)</f>
        <v>4180</v>
      </c>
      <c r="R349" s="65"/>
    </row>
    <row r="350" spans="1:18" s="66" customFormat="1">
      <c r="A350" s="67">
        <v>349</v>
      </c>
      <c r="B350" s="78" t="s">
        <v>643</v>
      </c>
      <c r="C350" s="79" t="s">
        <v>644</v>
      </c>
      <c r="D350" s="79" t="s">
        <v>90</v>
      </c>
      <c r="E350" s="68">
        <v>0</v>
      </c>
      <c r="F350" s="68">
        <v>0</v>
      </c>
      <c r="G350" s="68">
        <v>0</v>
      </c>
      <c r="H350" s="68">
        <v>0</v>
      </c>
      <c r="I350" s="68">
        <v>0</v>
      </c>
      <c r="J350" s="68">
        <v>2100</v>
      </c>
      <c r="K350" s="68">
        <v>0</v>
      </c>
      <c r="L350" s="68">
        <v>0</v>
      </c>
      <c r="M350" s="68">
        <v>0</v>
      </c>
      <c r="N350" s="68">
        <v>0</v>
      </c>
      <c r="O350" s="68">
        <v>0</v>
      </c>
      <c r="P350" s="68">
        <v>0</v>
      </c>
      <c r="Q350" s="68">
        <f>SUM(E350:P350)</f>
        <v>2100</v>
      </c>
      <c r="R350" s="65"/>
    </row>
    <row r="351" spans="1:18" s="66" customFormat="1">
      <c r="A351" s="67">
        <v>350</v>
      </c>
      <c r="B351" s="78" t="s">
        <v>645</v>
      </c>
      <c r="C351" s="79" t="s">
        <v>646</v>
      </c>
      <c r="D351" s="79" t="s">
        <v>72</v>
      </c>
      <c r="E351" s="68">
        <v>0</v>
      </c>
      <c r="F351" s="68">
        <v>7500</v>
      </c>
      <c r="G351" s="68">
        <v>9360</v>
      </c>
      <c r="H351" s="68">
        <v>0</v>
      </c>
      <c r="I351" s="68">
        <v>0</v>
      </c>
      <c r="J351" s="68">
        <v>0</v>
      </c>
      <c r="K351" s="68">
        <v>0</v>
      </c>
      <c r="L351" s="68">
        <v>0</v>
      </c>
      <c r="M351" s="68">
        <v>0</v>
      </c>
      <c r="N351" s="68">
        <v>0</v>
      </c>
      <c r="O351" s="68">
        <v>0</v>
      </c>
      <c r="P351" s="68">
        <v>0</v>
      </c>
      <c r="Q351" s="68">
        <f>SUM(E351:P351)</f>
        <v>16860</v>
      </c>
      <c r="R351" s="65"/>
    </row>
    <row r="352" spans="1:18" s="66" customFormat="1">
      <c r="A352" s="67">
        <v>351</v>
      </c>
      <c r="B352" s="78" t="s">
        <v>647</v>
      </c>
      <c r="C352" s="79" t="s">
        <v>648</v>
      </c>
      <c r="D352" s="79" t="s">
        <v>649</v>
      </c>
      <c r="E352" s="68">
        <v>0</v>
      </c>
      <c r="F352" s="68">
        <v>27200</v>
      </c>
      <c r="G352" s="68">
        <v>0</v>
      </c>
      <c r="H352" s="68">
        <v>82250</v>
      </c>
      <c r="I352" s="68">
        <v>0</v>
      </c>
      <c r="J352" s="68">
        <v>99430</v>
      </c>
      <c r="K352" s="68">
        <v>25760</v>
      </c>
      <c r="L352" s="68">
        <v>85000</v>
      </c>
      <c r="M352" s="68">
        <v>264000</v>
      </c>
      <c r="N352" s="68">
        <v>0</v>
      </c>
      <c r="O352" s="68">
        <v>159125</v>
      </c>
      <c r="P352" s="68">
        <v>250600</v>
      </c>
      <c r="Q352" s="68">
        <f>SUM(E352:P352)</f>
        <v>993365</v>
      </c>
      <c r="R352" s="65"/>
    </row>
    <row r="353" spans="1:18" s="66" customFormat="1">
      <c r="A353" s="67">
        <v>352</v>
      </c>
      <c r="B353" s="78" t="s">
        <v>650</v>
      </c>
      <c r="C353" s="79" t="s">
        <v>651</v>
      </c>
      <c r="D353" s="79" t="s">
        <v>652</v>
      </c>
      <c r="E353" s="68">
        <v>0</v>
      </c>
      <c r="F353" s="68">
        <v>14765</v>
      </c>
      <c r="G353" s="68">
        <v>24960</v>
      </c>
      <c r="H353" s="68">
        <v>0</v>
      </c>
      <c r="I353" s="68">
        <v>0</v>
      </c>
      <c r="J353" s="68">
        <v>0</v>
      </c>
      <c r="K353" s="68">
        <v>0</v>
      </c>
      <c r="L353" s="68">
        <v>0</v>
      </c>
      <c r="M353" s="68">
        <v>0</v>
      </c>
      <c r="N353" s="68">
        <v>0</v>
      </c>
      <c r="O353" s="68">
        <v>0</v>
      </c>
      <c r="P353" s="68">
        <v>0</v>
      </c>
      <c r="Q353" s="68">
        <f>SUM(E353:P353)</f>
        <v>39725</v>
      </c>
      <c r="R353" s="65"/>
    </row>
    <row r="354" spans="1:18" s="66" customFormat="1">
      <c r="A354" s="67">
        <v>353</v>
      </c>
      <c r="B354" s="78" t="s">
        <v>653</v>
      </c>
      <c r="C354" s="79" t="s">
        <v>654</v>
      </c>
      <c r="D354" s="79" t="s">
        <v>19</v>
      </c>
      <c r="E354" s="68">
        <v>0</v>
      </c>
      <c r="F354" s="68">
        <v>0</v>
      </c>
      <c r="G354" s="68">
        <v>0</v>
      </c>
      <c r="H354" s="68">
        <v>0</v>
      </c>
      <c r="I354" s="68">
        <v>0</v>
      </c>
      <c r="J354" s="68">
        <v>22125</v>
      </c>
      <c r="K354" s="68">
        <v>885</v>
      </c>
      <c r="L354" s="68">
        <v>5875</v>
      </c>
      <c r="M354" s="68">
        <v>0</v>
      </c>
      <c r="N354" s="68">
        <v>0</v>
      </c>
      <c r="O354" s="68">
        <v>0</v>
      </c>
      <c r="P354" s="68">
        <v>1702.5</v>
      </c>
      <c r="Q354" s="68">
        <f>SUM(E354:P354)</f>
        <v>30587.5</v>
      </c>
      <c r="R354" s="65"/>
    </row>
    <row r="355" spans="1:18" s="66" customFormat="1" ht="30.75">
      <c r="A355" s="67">
        <v>354</v>
      </c>
      <c r="B355" s="78" t="s">
        <v>655</v>
      </c>
      <c r="C355" s="79" t="s">
        <v>656</v>
      </c>
      <c r="D355" s="79" t="s">
        <v>19</v>
      </c>
      <c r="E355" s="68">
        <v>14505</v>
      </c>
      <c r="F355" s="68">
        <v>12000</v>
      </c>
      <c r="G355" s="68">
        <v>45650</v>
      </c>
      <c r="H355" s="68">
        <v>19100</v>
      </c>
      <c r="I355" s="68">
        <v>39200</v>
      </c>
      <c r="J355" s="68">
        <v>47200</v>
      </c>
      <c r="K355" s="68">
        <v>58950</v>
      </c>
      <c r="L355" s="68">
        <v>34800</v>
      </c>
      <c r="M355" s="68">
        <v>46150</v>
      </c>
      <c r="N355" s="68">
        <v>37600</v>
      </c>
      <c r="O355" s="68">
        <v>16940</v>
      </c>
      <c r="P355" s="68">
        <v>18300</v>
      </c>
      <c r="Q355" s="68">
        <f>SUM(E355:P355)</f>
        <v>390395</v>
      </c>
      <c r="R355" s="65"/>
    </row>
    <row r="356" spans="1:18" s="66" customFormat="1">
      <c r="A356" s="67">
        <v>355</v>
      </c>
      <c r="B356" s="78" t="s">
        <v>657</v>
      </c>
      <c r="C356" s="79" t="s">
        <v>23</v>
      </c>
      <c r="D356" s="79" t="s">
        <v>30</v>
      </c>
      <c r="E356" s="68">
        <v>0</v>
      </c>
      <c r="F356" s="68">
        <v>0</v>
      </c>
      <c r="G356" s="68">
        <v>0</v>
      </c>
      <c r="H356" s="68">
        <v>0</v>
      </c>
      <c r="I356" s="68">
        <v>0</v>
      </c>
      <c r="J356" s="68">
        <v>13293</v>
      </c>
      <c r="K356" s="68">
        <v>0</v>
      </c>
      <c r="L356" s="68">
        <v>0</v>
      </c>
      <c r="M356" s="68">
        <v>0</v>
      </c>
      <c r="N356" s="68">
        <v>0</v>
      </c>
      <c r="O356" s="68">
        <v>0</v>
      </c>
      <c r="P356" s="68">
        <v>0</v>
      </c>
      <c r="Q356" s="68">
        <f>SUM(E356:P356)</f>
        <v>13293</v>
      </c>
      <c r="R356" s="65"/>
    </row>
    <row r="357" spans="1:18" s="66" customFormat="1">
      <c r="A357" s="67">
        <v>356</v>
      </c>
      <c r="B357" s="78" t="s">
        <v>658</v>
      </c>
      <c r="C357" s="79" t="s">
        <v>659</v>
      </c>
      <c r="D357" s="79" t="s">
        <v>55</v>
      </c>
      <c r="E357" s="68">
        <v>0</v>
      </c>
      <c r="F357" s="68">
        <v>0</v>
      </c>
      <c r="G357" s="68">
        <v>0</v>
      </c>
      <c r="H357" s="68">
        <v>0</v>
      </c>
      <c r="I357" s="68">
        <v>0</v>
      </c>
      <c r="J357" s="68">
        <v>0</v>
      </c>
      <c r="K357" s="68">
        <v>3150</v>
      </c>
      <c r="L357" s="68">
        <v>0</v>
      </c>
      <c r="M357" s="68">
        <v>0</v>
      </c>
      <c r="N357" s="68">
        <v>0</v>
      </c>
      <c r="O357" s="68">
        <v>0</v>
      </c>
      <c r="P357" s="68" t="s">
        <v>23</v>
      </c>
      <c r="Q357" s="68">
        <f>SUM(E357:P357)</f>
        <v>3150</v>
      </c>
      <c r="R357" s="65"/>
    </row>
    <row r="358" spans="1:18" s="66" customFormat="1">
      <c r="A358" s="67">
        <v>357</v>
      </c>
      <c r="B358" s="78" t="s">
        <v>660</v>
      </c>
      <c r="C358" s="79" t="s">
        <v>661</v>
      </c>
      <c r="D358" s="79" t="s">
        <v>90</v>
      </c>
      <c r="E358" s="68">
        <v>0</v>
      </c>
      <c r="F358" s="68">
        <v>0</v>
      </c>
      <c r="G358" s="68">
        <v>0</v>
      </c>
      <c r="H358" s="68">
        <v>0</v>
      </c>
      <c r="I358" s="68">
        <v>0</v>
      </c>
      <c r="J358" s="68">
        <v>0</v>
      </c>
      <c r="K358" s="68">
        <v>0</v>
      </c>
      <c r="L358" s="68">
        <v>3150</v>
      </c>
      <c r="M358" s="68">
        <v>0</v>
      </c>
      <c r="N358" s="68">
        <v>0</v>
      </c>
      <c r="O358" s="68">
        <v>0</v>
      </c>
      <c r="P358" s="68">
        <v>0</v>
      </c>
      <c r="Q358" s="68">
        <f>SUM(E358:P358)</f>
        <v>3150</v>
      </c>
      <c r="R358" s="65"/>
    </row>
    <row r="359" spans="1:18" s="66" customFormat="1">
      <c r="A359" s="67">
        <v>358</v>
      </c>
      <c r="B359" s="78" t="s">
        <v>662</v>
      </c>
      <c r="C359" s="79" t="s">
        <v>663</v>
      </c>
      <c r="D359" s="79" t="s">
        <v>135</v>
      </c>
      <c r="E359" s="68">
        <v>8232</v>
      </c>
      <c r="F359" s="68">
        <v>3150</v>
      </c>
      <c r="G359" s="68">
        <v>0</v>
      </c>
      <c r="H359" s="68">
        <v>0</v>
      </c>
      <c r="I359" s="68">
        <v>0</v>
      </c>
      <c r="J359" s="68">
        <v>0</v>
      </c>
      <c r="K359" s="68">
        <v>0</v>
      </c>
      <c r="L359" s="68">
        <v>0</v>
      </c>
      <c r="M359" s="68">
        <v>4200</v>
      </c>
      <c r="N359" s="68">
        <v>3150</v>
      </c>
      <c r="O359" s="68">
        <v>0</v>
      </c>
      <c r="P359" s="68">
        <v>0</v>
      </c>
      <c r="Q359" s="68">
        <f>SUM(E359:P359)</f>
        <v>18732</v>
      </c>
      <c r="R359" s="65"/>
    </row>
    <row r="360" spans="1:18" s="66" customFormat="1">
      <c r="A360" s="67">
        <v>359</v>
      </c>
      <c r="B360" s="78" t="s">
        <v>664</v>
      </c>
      <c r="C360" s="79" t="s">
        <v>665</v>
      </c>
      <c r="D360" s="79" t="s">
        <v>19</v>
      </c>
      <c r="E360" s="68">
        <v>0</v>
      </c>
      <c r="F360" s="68">
        <v>3150</v>
      </c>
      <c r="G360" s="68">
        <v>0</v>
      </c>
      <c r="H360" s="68">
        <v>0</v>
      </c>
      <c r="I360" s="68">
        <v>0</v>
      </c>
      <c r="J360" s="68">
        <v>0</v>
      </c>
      <c r="K360" s="68">
        <v>0</v>
      </c>
      <c r="L360" s="68">
        <v>0</v>
      </c>
      <c r="M360" s="68">
        <v>0</v>
      </c>
      <c r="N360" s="68">
        <v>6510</v>
      </c>
      <c r="O360" s="68">
        <v>0</v>
      </c>
      <c r="P360" s="68">
        <v>0</v>
      </c>
      <c r="Q360" s="68">
        <f>SUM(E360:P360)</f>
        <v>9660</v>
      </c>
      <c r="R360" s="65"/>
    </row>
    <row r="361" spans="1:18" s="66" customFormat="1">
      <c r="A361" s="67">
        <v>360</v>
      </c>
      <c r="B361" s="78" t="s">
        <v>666</v>
      </c>
      <c r="C361" s="79" t="s">
        <v>667</v>
      </c>
      <c r="D361" s="79" t="s">
        <v>72</v>
      </c>
      <c r="E361" s="68">
        <v>0</v>
      </c>
      <c r="F361" s="68">
        <v>5600</v>
      </c>
      <c r="G361" s="68">
        <v>0</v>
      </c>
      <c r="H361" s="68">
        <v>0</v>
      </c>
      <c r="I361" s="68">
        <v>0</v>
      </c>
      <c r="J361" s="68">
        <v>0</v>
      </c>
      <c r="K361" s="68">
        <v>0</v>
      </c>
      <c r="L361" s="68">
        <v>5600</v>
      </c>
      <c r="M361" s="68">
        <v>0</v>
      </c>
      <c r="N361" s="68">
        <v>0</v>
      </c>
      <c r="O361" s="68">
        <v>0</v>
      </c>
      <c r="P361" s="68">
        <v>0</v>
      </c>
      <c r="Q361" s="68">
        <f>SUM(E361:P361)</f>
        <v>11200</v>
      </c>
      <c r="R361" s="65"/>
    </row>
    <row r="362" spans="1:18" s="66" customFormat="1" ht="30.75">
      <c r="A362" s="67">
        <v>361</v>
      </c>
      <c r="B362" s="78" t="s">
        <v>668</v>
      </c>
      <c r="C362" s="79" t="s">
        <v>669</v>
      </c>
      <c r="D362" s="79" t="s">
        <v>177</v>
      </c>
      <c r="E362" s="68">
        <v>0</v>
      </c>
      <c r="F362" s="68">
        <v>0</v>
      </c>
      <c r="G362" s="68">
        <v>0</v>
      </c>
      <c r="H362" s="68">
        <v>0</v>
      </c>
      <c r="I362" s="68">
        <v>0</v>
      </c>
      <c r="J362" s="68">
        <v>0</v>
      </c>
      <c r="K362" s="68">
        <v>0</v>
      </c>
      <c r="L362" s="68">
        <v>0</v>
      </c>
      <c r="M362" s="68">
        <v>7000</v>
      </c>
      <c r="N362" s="68">
        <v>0</v>
      </c>
      <c r="O362" s="68">
        <v>0</v>
      </c>
      <c r="P362" s="68">
        <v>0</v>
      </c>
      <c r="Q362" s="68">
        <f>SUM(E362:P362)</f>
        <v>7000</v>
      </c>
      <c r="R362" s="65"/>
    </row>
    <row r="363" spans="1:18" s="66" customFormat="1">
      <c r="A363" s="67">
        <v>362</v>
      </c>
      <c r="B363" s="78" t="s">
        <v>670</v>
      </c>
      <c r="C363" s="79" t="s">
        <v>671</v>
      </c>
      <c r="D363" s="79" t="s">
        <v>277</v>
      </c>
      <c r="E363" s="68">
        <v>0</v>
      </c>
      <c r="F363" s="68">
        <v>0</v>
      </c>
      <c r="G363" s="68">
        <v>0</v>
      </c>
      <c r="H363" s="68">
        <v>0</v>
      </c>
      <c r="I363" s="68">
        <v>0</v>
      </c>
      <c r="J363" s="68">
        <v>0</v>
      </c>
      <c r="K363" s="68">
        <v>0</v>
      </c>
      <c r="L363" s="68">
        <v>0</v>
      </c>
      <c r="M363" s="68">
        <v>0</v>
      </c>
      <c r="N363" s="68">
        <v>0</v>
      </c>
      <c r="O363" s="68">
        <v>3150</v>
      </c>
      <c r="P363" s="68">
        <v>0</v>
      </c>
      <c r="Q363" s="68">
        <f>SUM(E363:P363)</f>
        <v>3150</v>
      </c>
      <c r="R363" s="65"/>
    </row>
    <row r="364" spans="1:18" s="66" customFormat="1">
      <c r="A364" s="67">
        <v>363</v>
      </c>
      <c r="B364" s="78" t="s">
        <v>672</v>
      </c>
      <c r="C364" s="79" t="s">
        <v>661</v>
      </c>
      <c r="D364" s="79" t="s">
        <v>90</v>
      </c>
      <c r="E364" s="68">
        <v>0</v>
      </c>
      <c r="F364" s="68">
        <v>0</v>
      </c>
      <c r="G364" s="68">
        <v>0</v>
      </c>
      <c r="H364" s="68">
        <v>7000</v>
      </c>
      <c r="I364" s="68">
        <v>0</v>
      </c>
      <c r="J364" s="68">
        <v>0</v>
      </c>
      <c r="K364" s="68">
        <v>0</v>
      </c>
      <c r="L364" s="68">
        <v>7000</v>
      </c>
      <c r="M364" s="68">
        <v>0</v>
      </c>
      <c r="N364" s="68">
        <v>0</v>
      </c>
      <c r="O364" s="68">
        <v>0</v>
      </c>
      <c r="P364" s="68">
        <v>0</v>
      </c>
      <c r="Q364" s="68">
        <f>SUM(E364:P364)</f>
        <v>14000</v>
      </c>
      <c r="R364" s="65"/>
    </row>
    <row r="365" spans="1:18" s="66" customFormat="1">
      <c r="A365" s="67">
        <v>364</v>
      </c>
      <c r="B365" s="78" t="s">
        <v>673</v>
      </c>
      <c r="C365" s="79" t="s">
        <v>674</v>
      </c>
      <c r="D365" s="79" t="s">
        <v>69</v>
      </c>
      <c r="E365" s="68">
        <v>0</v>
      </c>
      <c r="F365" s="68">
        <v>0</v>
      </c>
      <c r="G365" s="68">
        <v>0</v>
      </c>
      <c r="H365" s="68">
        <v>0</v>
      </c>
      <c r="I365" s="68">
        <v>0</v>
      </c>
      <c r="J365" s="68">
        <v>0</v>
      </c>
      <c r="K365" s="68">
        <v>0</v>
      </c>
      <c r="L365" s="68">
        <v>3150</v>
      </c>
      <c r="M365" s="68">
        <v>0</v>
      </c>
      <c r="N365" s="68">
        <v>0</v>
      </c>
      <c r="O365" s="68">
        <v>0</v>
      </c>
      <c r="P365" s="68">
        <v>0</v>
      </c>
      <c r="Q365" s="68">
        <f>SUM(E365:P365)</f>
        <v>3150</v>
      </c>
      <c r="R365" s="65"/>
    </row>
    <row r="366" spans="1:18" s="66" customFormat="1">
      <c r="A366" s="67">
        <v>365</v>
      </c>
      <c r="B366" s="78" t="s">
        <v>675</v>
      </c>
      <c r="C366" s="79" t="s">
        <v>676</v>
      </c>
      <c r="D366" s="79" t="s">
        <v>677</v>
      </c>
      <c r="E366" s="68">
        <v>0</v>
      </c>
      <c r="F366" s="68">
        <v>0</v>
      </c>
      <c r="G366" s="68">
        <v>0</v>
      </c>
      <c r="H366" s="68">
        <v>0</v>
      </c>
      <c r="I366" s="68">
        <v>0</v>
      </c>
      <c r="J366" s="68">
        <v>0</v>
      </c>
      <c r="K366" s="68">
        <v>0</v>
      </c>
      <c r="L366" s="68">
        <v>5600</v>
      </c>
      <c r="M366" s="68">
        <v>0</v>
      </c>
      <c r="N366" s="68">
        <v>0</v>
      </c>
      <c r="O366" s="68">
        <v>0</v>
      </c>
      <c r="P366" s="68">
        <v>0</v>
      </c>
      <c r="Q366" s="68">
        <f>SUM(E366:P366)</f>
        <v>5600</v>
      </c>
      <c r="R366" s="65"/>
    </row>
    <row r="367" spans="1:18" s="66" customFormat="1" ht="30.75">
      <c r="A367" s="67">
        <v>366</v>
      </c>
      <c r="B367" s="78" t="s">
        <v>678</v>
      </c>
      <c r="C367" s="79" t="s">
        <v>663</v>
      </c>
      <c r="D367" s="79" t="s">
        <v>135</v>
      </c>
      <c r="E367" s="68">
        <v>0</v>
      </c>
      <c r="F367" s="68">
        <v>0</v>
      </c>
      <c r="G367" s="68">
        <v>3150</v>
      </c>
      <c r="H367" s="68">
        <v>0</v>
      </c>
      <c r="I367" s="68">
        <v>0</v>
      </c>
      <c r="J367" s="68">
        <v>0</v>
      </c>
      <c r="K367" s="68">
        <v>0</v>
      </c>
      <c r="L367" s="68">
        <v>0</v>
      </c>
      <c r="M367" s="68">
        <v>0</v>
      </c>
      <c r="N367" s="68">
        <v>3150</v>
      </c>
      <c r="O367" s="68">
        <v>0</v>
      </c>
      <c r="P367" s="68">
        <v>0</v>
      </c>
      <c r="Q367" s="68">
        <f>SUM(E367:P367)</f>
        <v>6300</v>
      </c>
      <c r="R367" s="65"/>
    </row>
    <row r="368" spans="1:18" s="66" customFormat="1">
      <c r="A368" s="67">
        <v>367</v>
      </c>
      <c r="B368" s="78" t="s">
        <v>679</v>
      </c>
      <c r="C368" s="79" t="s">
        <v>663</v>
      </c>
      <c r="D368" s="79" t="s">
        <v>135</v>
      </c>
      <c r="E368" s="68">
        <v>0</v>
      </c>
      <c r="F368" s="68">
        <v>0</v>
      </c>
      <c r="G368" s="68">
        <v>3500</v>
      </c>
      <c r="H368" s="68">
        <v>0</v>
      </c>
      <c r="I368" s="68">
        <v>0</v>
      </c>
      <c r="J368" s="68">
        <v>0</v>
      </c>
      <c r="K368" s="68">
        <v>0</v>
      </c>
      <c r="L368" s="68">
        <v>0</v>
      </c>
      <c r="M368" s="68">
        <v>0</v>
      </c>
      <c r="N368" s="68">
        <v>0</v>
      </c>
      <c r="O368" s="68">
        <v>0</v>
      </c>
      <c r="P368" s="68">
        <v>0</v>
      </c>
      <c r="Q368" s="68">
        <f>SUM(E368:P368)</f>
        <v>3500</v>
      </c>
      <c r="R368" s="65"/>
    </row>
    <row r="369" spans="1:18" s="66" customFormat="1">
      <c r="A369" s="67">
        <v>368</v>
      </c>
      <c r="B369" s="78" t="s">
        <v>680</v>
      </c>
      <c r="C369" s="79" t="s">
        <v>681</v>
      </c>
      <c r="D369" s="79" t="s">
        <v>19</v>
      </c>
      <c r="E369" s="68">
        <v>28420</v>
      </c>
      <c r="F369" s="68">
        <v>9250</v>
      </c>
      <c r="G369" s="68">
        <v>18700</v>
      </c>
      <c r="H369" s="68">
        <v>0</v>
      </c>
      <c r="I369" s="68">
        <v>0</v>
      </c>
      <c r="J369" s="68">
        <v>0</v>
      </c>
      <c r="K369" s="68">
        <v>0</v>
      </c>
      <c r="L369" s="68">
        <v>0</v>
      </c>
      <c r="M369" s="68">
        <v>0</v>
      </c>
      <c r="N369" s="68">
        <v>0</v>
      </c>
      <c r="O369" s="68">
        <v>0</v>
      </c>
      <c r="P369" s="68">
        <v>0</v>
      </c>
      <c r="Q369" s="68">
        <f>SUM(E369:P369)</f>
        <v>56370</v>
      </c>
      <c r="R369" s="65"/>
    </row>
    <row r="370" spans="1:18" s="66" customFormat="1">
      <c r="A370" s="67">
        <v>369</v>
      </c>
      <c r="B370" s="78" t="s">
        <v>682</v>
      </c>
      <c r="C370" s="79" t="s">
        <v>683</v>
      </c>
      <c r="D370" s="79" t="s">
        <v>19</v>
      </c>
      <c r="E370" s="68">
        <v>0</v>
      </c>
      <c r="F370" s="68">
        <v>0</v>
      </c>
      <c r="G370" s="68">
        <v>0</v>
      </c>
      <c r="H370" s="68">
        <v>0</v>
      </c>
      <c r="I370" s="68">
        <v>0</v>
      </c>
      <c r="J370" s="68">
        <v>0</v>
      </c>
      <c r="K370" s="68">
        <v>0</v>
      </c>
      <c r="L370" s="68">
        <v>0</v>
      </c>
      <c r="M370" s="68">
        <v>0</v>
      </c>
      <c r="N370" s="68">
        <v>2600</v>
      </c>
      <c r="O370" s="68">
        <v>0</v>
      </c>
      <c r="P370" s="68">
        <v>0</v>
      </c>
      <c r="Q370" s="68">
        <f>SUM(E370:P370)</f>
        <v>2600</v>
      </c>
      <c r="R370" s="65"/>
    </row>
    <row r="371" spans="1:18" s="66" customFormat="1">
      <c r="A371" s="67">
        <v>370</v>
      </c>
      <c r="B371" s="78" t="s">
        <v>684</v>
      </c>
      <c r="C371" s="79" t="s">
        <v>23</v>
      </c>
      <c r="D371" s="79" t="s">
        <v>30</v>
      </c>
      <c r="E371" s="68">
        <v>0</v>
      </c>
      <c r="F371" s="68">
        <v>0</v>
      </c>
      <c r="G371" s="68">
        <v>0</v>
      </c>
      <c r="H371" s="68">
        <v>0</v>
      </c>
      <c r="I371" s="68">
        <v>0</v>
      </c>
      <c r="J371" s="68">
        <v>0</v>
      </c>
      <c r="K371" s="68">
        <v>450</v>
      </c>
      <c r="L371" s="68">
        <v>0</v>
      </c>
      <c r="M371" s="68">
        <v>0</v>
      </c>
      <c r="N371" s="68">
        <v>0</v>
      </c>
      <c r="O371" s="68">
        <v>0</v>
      </c>
      <c r="P371" s="68">
        <v>0</v>
      </c>
      <c r="Q371" s="68">
        <f>SUM(E371:P371)</f>
        <v>450</v>
      </c>
      <c r="R371" s="65"/>
    </row>
    <row r="372" spans="1:18" s="66" customFormat="1" ht="30.75">
      <c r="A372" s="67">
        <v>371</v>
      </c>
      <c r="B372" s="78" t="s">
        <v>685</v>
      </c>
      <c r="C372" s="79" t="s">
        <v>686</v>
      </c>
      <c r="D372" s="79" t="s">
        <v>19</v>
      </c>
      <c r="E372" s="68">
        <v>3304</v>
      </c>
      <c r="F372" s="68">
        <v>8240</v>
      </c>
      <c r="G372" s="68">
        <v>41200</v>
      </c>
      <c r="H372" s="68">
        <v>0</v>
      </c>
      <c r="I372" s="68">
        <v>0</v>
      </c>
      <c r="J372" s="68">
        <v>18800</v>
      </c>
      <c r="K372" s="68">
        <v>0</v>
      </c>
      <c r="L372" s="68">
        <v>0</v>
      </c>
      <c r="M372" s="68">
        <v>0</v>
      </c>
      <c r="N372" s="68">
        <v>0</v>
      </c>
      <c r="O372" s="68">
        <v>0</v>
      </c>
      <c r="P372" s="68">
        <v>0</v>
      </c>
      <c r="Q372" s="68">
        <f>SUM(E372:P372)</f>
        <v>71544</v>
      </c>
      <c r="R372" s="65"/>
    </row>
    <row r="373" spans="1:18" s="66" customFormat="1" ht="30.75">
      <c r="A373" s="67">
        <v>372</v>
      </c>
      <c r="B373" s="78" t="s">
        <v>687</v>
      </c>
      <c r="C373" s="79" t="s">
        <v>688</v>
      </c>
      <c r="D373" s="79" t="s">
        <v>90</v>
      </c>
      <c r="E373" s="68">
        <v>0</v>
      </c>
      <c r="F373" s="68">
        <v>0</v>
      </c>
      <c r="G373" s="68">
        <v>0</v>
      </c>
      <c r="H373" s="68">
        <v>0</v>
      </c>
      <c r="I373" s="68">
        <v>0</v>
      </c>
      <c r="J373" s="68">
        <v>0</v>
      </c>
      <c r="K373" s="68">
        <v>3900</v>
      </c>
      <c r="L373" s="68">
        <v>0</v>
      </c>
      <c r="M373" s="68">
        <v>18000</v>
      </c>
      <c r="N373" s="68">
        <v>3900</v>
      </c>
      <c r="O373" s="68">
        <v>7800</v>
      </c>
      <c r="P373" s="68">
        <v>18900</v>
      </c>
      <c r="Q373" s="68">
        <f>SUM(E373:P373)</f>
        <v>52500</v>
      </c>
      <c r="R373" s="65"/>
    </row>
    <row r="374" spans="1:18" s="66" customFormat="1">
      <c r="A374" s="67">
        <v>373</v>
      </c>
      <c r="B374" s="78" t="s">
        <v>689</v>
      </c>
      <c r="C374" s="79" t="s">
        <v>690</v>
      </c>
      <c r="D374" s="79" t="s">
        <v>90</v>
      </c>
      <c r="E374" s="68">
        <v>0</v>
      </c>
      <c r="F374" s="68">
        <v>0</v>
      </c>
      <c r="G374" s="68">
        <v>0</v>
      </c>
      <c r="H374" s="68">
        <v>0</v>
      </c>
      <c r="I374" s="68">
        <v>0</v>
      </c>
      <c r="J374" s="68">
        <v>0</v>
      </c>
      <c r="K374" s="68">
        <v>0</v>
      </c>
      <c r="L374" s="68">
        <v>0</v>
      </c>
      <c r="M374" s="68">
        <v>0</v>
      </c>
      <c r="N374" s="68">
        <v>0</v>
      </c>
      <c r="O374" s="68">
        <v>0</v>
      </c>
      <c r="P374" s="68">
        <v>46200</v>
      </c>
      <c r="Q374" s="68">
        <f>SUM(E374:P374)</f>
        <v>46200</v>
      </c>
      <c r="R374" s="65"/>
    </row>
    <row r="375" spans="1:18" s="66" customFormat="1">
      <c r="A375" s="67">
        <v>374</v>
      </c>
      <c r="B375" s="78" t="s">
        <v>691</v>
      </c>
      <c r="C375" s="79" t="s">
        <v>692</v>
      </c>
      <c r="D375" s="79" t="s">
        <v>652</v>
      </c>
      <c r="E375" s="68">
        <v>0</v>
      </c>
      <c r="F375" s="68">
        <v>0</v>
      </c>
      <c r="G375" s="68">
        <v>0</v>
      </c>
      <c r="H375" s="68">
        <v>0</v>
      </c>
      <c r="I375" s="68">
        <v>16720</v>
      </c>
      <c r="J375" s="68">
        <v>0</v>
      </c>
      <c r="K375" s="68">
        <v>0</v>
      </c>
      <c r="L375" s="68">
        <v>0</v>
      </c>
      <c r="M375" s="68">
        <v>0</v>
      </c>
      <c r="N375" s="68">
        <v>0</v>
      </c>
      <c r="O375" s="68">
        <v>7780</v>
      </c>
      <c r="P375" s="68">
        <v>0</v>
      </c>
      <c r="Q375" s="68">
        <f>SUM(E375:P375)</f>
        <v>24500</v>
      </c>
      <c r="R375" s="65"/>
    </row>
    <row r="376" spans="1:18" s="66" customFormat="1">
      <c r="A376" s="67">
        <v>375</v>
      </c>
      <c r="B376" s="78" t="s">
        <v>693</v>
      </c>
      <c r="C376" s="79" t="s">
        <v>694</v>
      </c>
      <c r="D376" s="79" t="s">
        <v>19</v>
      </c>
      <c r="E376" s="68">
        <v>963</v>
      </c>
      <c r="F376" s="68">
        <v>0</v>
      </c>
      <c r="G376" s="68">
        <v>0</v>
      </c>
      <c r="H376" s="68">
        <v>12400</v>
      </c>
      <c r="I376" s="68">
        <v>78120</v>
      </c>
      <c r="J376" s="68">
        <v>15120</v>
      </c>
      <c r="K376" s="68">
        <v>27400</v>
      </c>
      <c r="L376" s="68">
        <v>0</v>
      </c>
      <c r="M376" s="68">
        <v>34800</v>
      </c>
      <c r="N376" s="68">
        <v>31900</v>
      </c>
      <c r="O376" s="68">
        <v>22800</v>
      </c>
      <c r="P376" s="68">
        <v>1660</v>
      </c>
      <c r="Q376" s="68">
        <f>SUM(E376:P376)</f>
        <v>225163</v>
      </c>
      <c r="R376" s="65"/>
    </row>
    <row r="377" spans="1:18" s="66" customFormat="1">
      <c r="A377" s="67">
        <v>376</v>
      </c>
      <c r="B377" s="78" t="s">
        <v>695</v>
      </c>
      <c r="C377" s="79" t="s">
        <v>696</v>
      </c>
      <c r="D377" s="79" t="s">
        <v>90</v>
      </c>
      <c r="E377" s="68">
        <v>0</v>
      </c>
      <c r="F377" s="68">
        <v>0</v>
      </c>
      <c r="G377" s="68">
        <v>0</v>
      </c>
      <c r="H377" s="68">
        <v>0</v>
      </c>
      <c r="I377" s="68">
        <v>0</v>
      </c>
      <c r="J377" s="68">
        <v>19500</v>
      </c>
      <c r="K377" s="68">
        <v>0</v>
      </c>
      <c r="L377" s="68">
        <v>0</v>
      </c>
      <c r="M377" s="68">
        <v>0</v>
      </c>
      <c r="N377" s="68">
        <v>0</v>
      </c>
      <c r="O377" s="68">
        <v>0</v>
      </c>
      <c r="P377" s="68">
        <v>0</v>
      </c>
      <c r="Q377" s="68">
        <f>SUM(E377:P377)</f>
        <v>19500</v>
      </c>
      <c r="R377" s="65"/>
    </row>
    <row r="378" spans="1:18" s="66" customFormat="1">
      <c r="A378" s="67">
        <v>377</v>
      </c>
      <c r="B378" s="78" t="s">
        <v>697</v>
      </c>
      <c r="C378" s="79" t="s">
        <v>698</v>
      </c>
      <c r="D378" s="79" t="s">
        <v>19</v>
      </c>
      <c r="E378" s="68">
        <v>0</v>
      </c>
      <c r="F378" s="68">
        <v>0</v>
      </c>
      <c r="G378" s="68">
        <v>0</v>
      </c>
      <c r="H378" s="68">
        <v>3860</v>
      </c>
      <c r="I378" s="68">
        <v>2125</v>
      </c>
      <c r="J378" s="68">
        <v>0</v>
      </c>
      <c r="K378" s="68">
        <v>0</v>
      </c>
      <c r="L378" s="68">
        <v>0</v>
      </c>
      <c r="M378" s="68">
        <v>0</v>
      </c>
      <c r="N378" s="68">
        <v>0</v>
      </c>
      <c r="O378" s="68">
        <v>0</v>
      </c>
      <c r="P378" s="68">
        <v>0</v>
      </c>
      <c r="Q378" s="68">
        <f>SUM(E378:P378)</f>
        <v>5985</v>
      </c>
      <c r="R378" s="65"/>
    </row>
    <row r="379" spans="1:18" s="66" customFormat="1">
      <c r="A379" s="67">
        <v>378</v>
      </c>
      <c r="B379" s="78" t="s">
        <v>699</v>
      </c>
      <c r="C379" s="79" t="s">
        <v>23</v>
      </c>
      <c r="D379" s="79" t="s">
        <v>30</v>
      </c>
      <c r="E379" s="68">
        <v>0</v>
      </c>
      <c r="F379" s="68">
        <v>0</v>
      </c>
      <c r="G379" s="68">
        <v>0</v>
      </c>
      <c r="H379" s="68">
        <v>0</v>
      </c>
      <c r="I379" s="68">
        <v>0</v>
      </c>
      <c r="J379" s="68">
        <v>0</v>
      </c>
      <c r="K379" s="68">
        <v>1470</v>
      </c>
      <c r="L379" s="68">
        <v>0</v>
      </c>
      <c r="M379" s="68">
        <v>0</v>
      </c>
      <c r="N379" s="68">
        <v>0</v>
      </c>
      <c r="O379" s="68">
        <v>0</v>
      </c>
      <c r="P379" s="68">
        <v>0</v>
      </c>
      <c r="Q379" s="68">
        <f>SUM(E379:P379)</f>
        <v>1470</v>
      </c>
      <c r="R379" s="65"/>
    </row>
    <row r="380" spans="1:18" s="66" customFormat="1">
      <c r="A380" s="67">
        <v>379</v>
      </c>
      <c r="B380" s="78" t="s">
        <v>700</v>
      </c>
      <c r="C380" s="79" t="s">
        <v>23</v>
      </c>
      <c r="D380" s="79" t="s">
        <v>30</v>
      </c>
      <c r="E380" s="68">
        <v>0</v>
      </c>
      <c r="F380" s="68">
        <v>0</v>
      </c>
      <c r="G380" s="68">
        <v>0</v>
      </c>
      <c r="H380" s="68">
        <v>0</v>
      </c>
      <c r="I380" s="68">
        <v>2344</v>
      </c>
      <c r="J380" s="68">
        <v>0</v>
      </c>
      <c r="K380" s="68">
        <v>0</v>
      </c>
      <c r="L380" s="68">
        <v>0</v>
      </c>
      <c r="M380" s="68">
        <v>0</v>
      </c>
      <c r="N380" s="68">
        <v>0</v>
      </c>
      <c r="O380" s="68">
        <v>0</v>
      </c>
      <c r="P380" s="68">
        <v>0</v>
      </c>
      <c r="Q380" s="68">
        <f>SUM(E380:P380)</f>
        <v>2344</v>
      </c>
      <c r="R380" s="65"/>
    </row>
    <row r="381" spans="1:18" s="66" customFormat="1">
      <c r="A381" s="67">
        <v>380</v>
      </c>
      <c r="B381" s="78" t="s">
        <v>701</v>
      </c>
      <c r="C381" s="79" t="s">
        <v>23</v>
      </c>
      <c r="D381" s="79" t="s">
        <v>30</v>
      </c>
      <c r="E381" s="68">
        <v>0</v>
      </c>
      <c r="F381" s="68">
        <v>0</v>
      </c>
      <c r="G381" s="68">
        <v>0</v>
      </c>
      <c r="H381" s="68">
        <v>0</v>
      </c>
      <c r="I381" s="68">
        <v>487.5</v>
      </c>
      <c r="J381" s="68">
        <v>0</v>
      </c>
      <c r="K381" s="68">
        <v>0</v>
      </c>
      <c r="L381" s="68">
        <v>0</v>
      </c>
      <c r="M381" s="68">
        <v>0</v>
      </c>
      <c r="N381" s="68">
        <v>0</v>
      </c>
      <c r="O381" s="68">
        <v>0</v>
      </c>
      <c r="P381" s="68">
        <v>0</v>
      </c>
      <c r="Q381" s="68">
        <f>SUM(E381:P381)</f>
        <v>487.5</v>
      </c>
      <c r="R381" s="65"/>
    </row>
    <row r="382" spans="1:18" s="66" customFormat="1">
      <c r="A382" s="67">
        <v>381</v>
      </c>
      <c r="B382" s="78" t="s">
        <v>702</v>
      </c>
      <c r="C382" s="79" t="s">
        <v>23</v>
      </c>
      <c r="D382" s="79" t="s">
        <v>30</v>
      </c>
      <c r="E382" s="68">
        <v>0</v>
      </c>
      <c r="F382" s="68">
        <v>0</v>
      </c>
      <c r="G382" s="68">
        <v>0</v>
      </c>
      <c r="H382" s="68">
        <v>0</v>
      </c>
      <c r="I382" s="68">
        <v>0</v>
      </c>
      <c r="J382" s="68">
        <v>4600</v>
      </c>
      <c r="K382" s="68">
        <v>0</v>
      </c>
      <c r="L382" s="68">
        <v>6000</v>
      </c>
      <c r="M382" s="68">
        <v>6000</v>
      </c>
      <c r="N382" s="68">
        <v>0</v>
      </c>
      <c r="O382" s="68">
        <v>0</v>
      </c>
      <c r="P382" s="68">
        <v>0</v>
      </c>
      <c r="Q382" s="68">
        <f>SUM(E382:P382)</f>
        <v>16600</v>
      </c>
      <c r="R382" s="65"/>
    </row>
    <row r="383" spans="1:18" s="66" customFormat="1" ht="30.75">
      <c r="A383" s="67">
        <v>382</v>
      </c>
      <c r="B383" s="78" t="s">
        <v>703</v>
      </c>
      <c r="C383" s="79" t="s">
        <v>704</v>
      </c>
      <c r="D383" s="79" t="s">
        <v>41</v>
      </c>
      <c r="E383" s="68">
        <v>0</v>
      </c>
      <c r="F383" s="68">
        <v>0</v>
      </c>
      <c r="G383" s="68">
        <v>0</v>
      </c>
      <c r="H383" s="68">
        <v>43230</v>
      </c>
      <c r="I383" s="68">
        <v>18280</v>
      </c>
      <c r="J383" s="68">
        <v>0</v>
      </c>
      <c r="K383" s="68">
        <v>17160</v>
      </c>
      <c r="L383" s="68">
        <v>0</v>
      </c>
      <c r="M383" s="68">
        <v>0</v>
      </c>
      <c r="N383" s="68">
        <v>0</v>
      </c>
      <c r="O383" s="68">
        <v>0</v>
      </c>
      <c r="P383" s="68">
        <v>0</v>
      </c>
      <c r="Q383" s="68">
        <f>SUM(E383:P383)</f>
        <v>78670</v>
      </c>
      <c r="R383" s="65"/>
    </row>
    <row r="384" spans="1:18" s="66" customFormat="1">
      <c r="A384" s="67">
        <v>383</v>
      </c>
      <c r="B384" s="78" t="s">
        <v>705</v>
      </c>
      <c r="C384" s="79" t="s">
        <v>706</v>
      </c>
      <c r="D384" s="79" t="s">
        <v>19</v>
      </c>
      <c r="E384" s="68">
        <v>0</v>
      </c>
      <c r="F384" s="68">
        <v>1960</v>
      </c>
      <c r="G384" s="68">
        <v>1960</v>
      </c>
      <c r="H384" s="68">
        <v>1960</v>
      </c>
      <c r="I384" s="68">
        <v>0</v>
      </c>
      <c r="J384" s="68">
        <v>1960</v>
      </c>
      <c r="K384" s="68">
        <v>0</v>
      </c>
      <c r="L384" s="68">
        <v>0</v>
      </c>
      <c r="M384" s="68">
        <v>1960</v>
      </c>
      <c r="N384" s="68">
        <v>0</v>
      </c>
      <c r="O384" s="68">
        <v>0</v>
      </c>
      <c r="P384" s="68">
        <v>2275</v>
      </c>
      <c r="Q384" s="68">
        <f>SUM(E384:P384)</f>
        <v>12075</v>
      </c>
      <c r="R384" s="65"/>
    </row>
    <row r="385" spans="1:18" s="66" customFormat="1">
      <c r="A385" s="67">
        <v>384</v>
      </c>
      <c r="B385" s="78" t="s">
        <v>707</v>
      </c>
      <c r="C385" s="79" t="s">
        <v>708</v>
      </c>
      <c r="D385" s="79" t="s">
        <v>177</v>
      </c>
      <c r="E385" s="68">
        <v>0</v>
      </c>
      <c r="F385" s="68">
        <v>0</v>
      </c>
      <c r="G385" s="68">
        <v>0</v>
      </c>
      <c r="H385" s="68">
        <v>0</v>
      </c>
      <c r="I385" s="68">
        <v>2660</v>
      </c>
      <c r="J385" s="68">
        <v>0</v>
      </c>
      <c r="K385" s="68">
        <v>0</v>
      </c>
      <c r="L385" s="68">
        <v>0</v>
      </c>
      <c r="M385" s="68">
        <v>0</v>
      </c>
      <c r="N385" s="68">
        <v>15318</v>
      </c>
      <c r="O385" s="68">
        <v>0</v>
      </c>
      <c r="P385" s="68">
        <v>0</v>
      </c>
      <c r="Q385" s="68">
        <f>SUM(E385:P385)</f>
        <v>17978</v>
      </c>
      <c r="R385" s="65"/>
    </row>
    <row r="386" spans="1:18" s="66" customFormat="1">
      <c r="A386" s="67">
        <v>385</v>
      </c>
      <c r="B386" s="78" t="s">
        <v>709</v>
      </c>
      <c r="C386" s="79" t="s">
        <v>23</v>
      </c>
      <c r="D386" s="79" t="s">
        <v>30</v>
      </c>
      <c r="E386" s="68">
        <v>0</v>
      </c>
      <c r="F386" s="68">
        <v>0</v>
      </c>
      <c r="G386" s="68">
        <v>1870</v>
      </c>
      <c r="H386" s="68">
        <v>0</v>
      </c>
      <c r="I386" s="68">
        <v>0</v>
      </c>
      <c r="J386" s="68">
        <v>3540</v>
      </c>
      <c r="K386" s="68">
        <v>0</v>
      </c>
      <c r="L386" s="68">
        <v>0</v>
      </c>
      <c r="M386" s="68">
        <v>0</v>
      </c>
      <c r="N386" s="68">
        <v>0</v>
      </c>
      <c r="O386" s="68">
        <v>0</v>
      </c>
      <c r="P386" s="68">
        <v>0</v>
      </c>
      <c r="Q386" s="68">
        <f>SUM(E386:P386)</f>
        <v>5410</v>
      </c>
      <c r="R386" s="65"/>
    </row>
    <row r="387" spans="1:18" s="66" customFormat="1">
      <c r="A387" s="67">
        <v>386</v>
      </c>
      <c r="B387" s="78" t="s">
        <v>710</v>
      </c>
      <c r="C387" s="79" t="s">
        <v>23</v>
      </c>
      <c r="D387" s="79" t="s">
        <v>30</v>
      </c>
      <c r="E387" s="68">
        <v>0</v>
      </c>
      <c r="F387" s="68">
        <v>0</v>
      </c>
      <c r="G387" s="68">
        <v>2160</v>
      </c>
      <c r="H387" s="68">
        <v>0</v>
      </c>
      <c r="I387" s="68">
        <v>0</v>
      </c>
      <c r="J387" s="68">
        <v>0</v>
      </c>
      <c r="K387" s="68">
        <v>0</v>
      </c>
      <c r="L387" s="68">
        <v>0</v>
      </c>
      <c r="M387" s="68">
        <v>0</v>
      </c>
      <c r="N387" s="68">
        <v>0</v>
      </c>
      <c r="O387" s="68">
        <v>0</v>
      </c>
      <c r="P387" s="68">
        <v>0</v>
      </c>
      <c r="Q387" s="68">
        <f>SUM(E387:P387)</f>
        <v>2160</v>
      </c>
      <c r="R387" s="65"/>
    </row>
    <row r="388" spans="1:18" s="66" customFormat="1">
      <c r="A388" s="67">
        <v>387</v>
      </c>
      <c r="B388" s="78" t="s">
        <v>711</v>
      </c>
      <c r="C388" s="79" t="s">
        <v>712</v>
      </c>
      <c r="D388" s="79" t="s">
        <v>55</v>
      </c>
      <c r="E388" s="68">
        <v>0</v>
      </c>
      <c r="F388" s="68">
        <v>0</v>
      </c>
      <c r="G388" s="68">
        <v>0</v>
      </c>
      <c r="H388" s="68">
        <v>0</v>
      </c>
      <c r="I388" s="68">
        <v>0</v>
      </c>
      <c r="J388" s="68">
        <v>0</v>
      </c>
      <c r="K388" s="68">
        <v>0</v>
      </c>
      <c r="L388" s="68">
        <v>0</v>
      </c>
      <c r="M388" s="68">
        <v>0</v>
      </c>
      <c r="N388" s="68">
        <v>0</v>
      </c>
      <c r="O388" s="68">
        <v>15775</v>
      </c>
      <c r="P388" s="68">
        <v>0</v>
      </c>
      <c r="Q388" s="68">
        <f>SUM(E388:P388)</f>
        <v>15775</v>
      </c>
      <c r="R388" s="65"/>
    </row>
    <row r="389" spans="1:18" s="66" customFormat="1" ht="30.75">
      <c r="A389" s="67">
        <v>388</v>
      </c>
      <c r="B389" s="78" t="s">
        <v>713</v>
      </c>
      <c r="C389" s="79" t="s">
        <v>23</v>
      </c>
      <c r="D389" s="79" t="s">
        <v>30</v>
      </c>
      <c r="E389" s="68">
        <v>2773</v>
      </c>
      <c r="F389" s="68">
        <v>1107</v>
      </c>
      <c r="G389" s="68">
        <v>0</v>
      </c>
      <c r="H389" s="68">
        <v>0</v>
      </c>
      <c r="I389" s="68">
        <v>0</v>
      </c>
      <c r="J389" s="68">
        <v>0</v>
      </c>
      <c r="K389" s="68">
        <v>0</v>
      </c>
      <c r="L389" s="68">
        <v>0</v>
      </c>
      <c r="M389" s="68">
        <v>0</v>
      </c>
      <c r="N389" s="68">
        <v>0</v>
      </c>
      <c r="O389" s="68">
        <v>0</v>
      </c>
      <c r="P389" s="68">
        <v>0</v>
      </c>
      <c r="Q389" s="68">
        <f>SUM(E389:P389)</f>
        <v>3880</v>
      </c>
      <c r="R389" s="65"/>
    </row>
    <row r="390" spans="1:18" s="66" customFormat="1">
      <c r="A390" s="67">
        <v>389</v>
      </c>
      <c r="B390" s="78" t="s">
        <v>714</v>
      </c>
      <c r="C390" s="79" t="s">
        <v>715</v>
      </c>
      <c r="D390" s="79" t="s">
        <v>19</v>
      </c>
      <c r="E390" s="68">
        <v>0</v>
      </c>
      <c r="F390" s="68">
        <v>0</v>
      </c>
      <c r="G390" s="68">
        <v>0</v>
      </c>
      <c r="H390" s="68">
        <v>0</v>
      </c>
      <c r="I390" s="68">
        <v>5400</v>
      </c>
      <c r="J390" s="68">
        <v>0</v>
      </c>
      <c r="K390" s="68">
        <v>6060</v>
      </c>
      <c r="L390" s="68">
        <v>123340</v>
      </c>
      <c r="M390" s="68">
        <v>1980</v>
      </c>
      <c r="N390" s="68">
        <v>0</v>
      </c>
      <c r="O390" s="68">
        <v>0</v>
      </c>
      <c r="P390" s="68">
        <v>0</v>
      </c>
      <c r="Q390" s="68">
        <f>SUM(E390:P390)</f>
        <v>136780</v>
      </c>
      <c r="R390" s="65"/>
    </row>
    <row r="391" spans="1:18" s="66" customFormat="1">
      <c r="A391" s="67">
        <v>390</v>
      </c>
      <c r="B391" s="78" t="s">
        <v>716</v>
      </c>
      <c r="C391" s="79" t="s">
        <v>717</v>
      </c>
      <c r="D391" s="79" t="s">
        <v>342</v>
      </c>
      <c r="E391" s="68">
        <v>0</v>
      </c>
      <c r="F391" s="68">
        <v>0</v>
      </c>
      <c r="G391" s="68">
        <v>0</v>
      </c>
      <c r="H391" s="68">
        <v>0</v>
      </c>
      <c r="I391" s="68">
        <v>0</v>
      </c>
      <c r="J391" s="68">
        <v>0</v>
      </c>
      <c r="K391" s="68">
        <v>0</v>
      </c>
      <c r="L391" s="68">
        <v>47142.86</v>
      </c>
      <c r="M391" s="68">
        <v>0</v>
      </c>
      <c r="N391" s="68">
        <v>0</v>
      </c>
      <c r="O391" s="68">
        <v>0</v>
      </c>
      <c r="P391" s="68">
        <v>0</v>
      </c>
      <c r="Q391" s="68">
        <f>SUM(E391:P391)</f>
        <v>47142.86</v>
      </c>
      <c r="R391" s="65"/>
    </row>
    <row r="392" spans="1:18" s="66" customFormat="1">
      <c r="A392" s="67">
        <v>391</v>
      </c>
      <c r="B392" s="78" t="s">
        <v>718</v>
      </c>
      <c r="C392" s="79" t="s">
        <v>23</v>
      </c>
      <c r="D392" s="79" t="s">
        <v>30</v>
      </c>
      <c r="E392" s="68">
        <v>0</v>
      </c>
      <c r="F392" s="68">
        <v>0</v>
      </c>
      <c r="G392" s="68">
        <v>0</v>
      </c>
      <c r="H392" s="68">
        <v>22000</v>
      </c>
      <c r="I392" s="68">
        <v>0</v>
      </c>
      <c r="J392" s="68">
        <v>0</v>
      </c>
      <c r="K392" s="68">
        <v>0</v>
      </c>
      <c r="L392" s="68">
        <v>0</v>
      </c>
      <c r="M392" s="68">
        <v>0</v>
      </c>
      <c r="N392" s="68">
        <v>0</v>
      </c>
      <c r="O392" s="68">
        <v>0</v>
      </c>
      <c r="P392" s="68">
        <v>0</v>
      </c>
      <c r="Q392" s="68">
        <f>SUM(E392:P392)</f>
        <v>22000</v>
      </c>
      <c r="R392" s="65"/>
    </row>
    <row r="393" spans="1:18" s="66" customFormat="1">
      <c r="A393" s="67">
        <v>392</v>
      </c>
      <c r="B393" s="78" t="s">
        <v>719</v>
      </c>
      <c r="C393" s="79" t="s">
        <v>23</v>
      </c>
      <c r="D393" s="79" t="s">
        <v>30</v>
      </c>
      <c r="E393" s="68">
        <v>0</v>
      </c>
      <c r="F393" s="68">
        <v>0</v>
      </c>
      <c r="G393" s="68">
        <v>0</v>
      </c>
      <c r="H393" s="68">
        <v>0</v>
      </c>
      <c r="I393" s="68">
        <v>4970</v>
      </c>
      <c r="J393" s="68">
        <v>0</v>
      </c>
      <c r="K393" s="68">
        <v>0</v>
      </c>
      <c r="L393" s="68">
        <v>0</v>
      </c>
      <c r="M393" s="68">
        <v>0</v>
      </c>
      <c r="N393" s="68">
        <v>0</v>
      </c>
      <c r="O393" s="68">
        <v>0</v>
      </c>
      <c r="P393" s="68">
        <v>0</v>
      </c>
      <c r="Q393" s="68">
        <f>SUM(E393:P393)</f>
        <v>4970</v>
      </c>
      <c r="R393" s="65"/>
    </row>
    <row r="394" spans="1:18" s="66" customFormat="1">
      <c r="A394" s="67">
        <v>393</v>
      </c>
      <c r="B394" s="78" t="s">
        <v>720</v>
      </c>
      <c r="C394" s="79" t="s">
        <v>23</v>
      </c>
      <c r="D394" s="79" t="s">
        <v>30</v>
      </c>
      <c r="E394" s="68">
        <v>0</v>
      </c>
      <c r="F394" s="68">
        <v>0</v>
      </c>
      <c r="G394" s="68">
        <v>0</v>
      </c>
      <c r="H394" s="68">
        <v>2750</v>
      </c>
      <c r="I394" s="68">
        <v>0</v>
      </c>
      <c r="J394" s="68">
        <v>0</v>
      </c>
      <c r="K394" s="68">
        <v>0</v>
      </c>
      <c r="L394" s="68">
        <v>1485</v>
      </c>
      <c r="M394" s="68">
        <v>0</v>
      </c>
      <c r="N394" s="68">
        <v>2200</v>
      </c>
      <c r="O394" s="68">
        <v>0</v>
      </c>
      <c r="P394" s="68">
        <v>0</v>
      </c>
      <c r="Q394" s="68">
        <f>SUM(E394:P394)</f>
        <v>6435</v>
      </c>
      <c r="R394" s="65"/>
    </row>
    <row r="395" spans="1:18" s="66" customFormat="1">
      <c r="A395" s="67">
        <v>394</v>
      </c>
      <c r="B395" s="78" t="s">
        <v>721</v>
      </c>
      <c r="C395" s="79" t="s">
        <v>722</v>
      </c>
      <c r="D395" s="79" t="s">
        <v>151</v>
      </c>
      <c r="E395" s="68">
        <v>2436</v>
      </c>
      <c r="F395" s="68">
        <v>0</v>
      </c>
      <c r="G395" s="68">
        <v>0</v>
      </c>
      <c r="H395" s="68">
        <v>0</v>
      </c>
      <c r="I395" s="68">
        <v>0</v>
      </c>
      <c r="J395" s="68">
        <v>0</v>
      </c>
      <c r="K395" s="68">
        <v>0</v>
      </c>
      <c r="L395" s="68">
        <v>0</v>
      </c>
      <c r="M395" s="68">
        <v>0</v>
      </c>
      <c r="N395" s="68">
        <v>7000</v>
      </c>
      <c r="O395" s="68">
        <v>3900</v>
      </c>
      <c r="P395" s="68">
        <v>0</v>
      </c>
      <c r="Q395" s="68">
        <f>SUM(E395:P395)</f>
        <v>13336</v>
      </c>
      <c r="R395" s="65"/>
    </row>
    <row r="396" spans="1:18" s="66" customFormat="1">
      <c r="A396" s="67">
        <v>395</v>
      </c>
      <c r="B396" s="78" t="s">
        <v>723</v>
      </c>
      <c r="C396" s="79" t="s">
        <v>724</v>
      </c>
      <c r="D396" s="79" t="s">
        <v>19</v>
      </c>
      <c r="E396" s="68">
        <v>1740</v>
      </c>
      <c r="F396" s="68">
        <v>0</v>
      </c>
      <c r="G396" s="68">
        <v>0</v>
      </c>
      <c r="H396" s="68">
        <v>0</v>
      </c>
      <c r="I396" s="68">
        <v>0</v>
      </c>
      <c r="J396" s="68">
        <v>0</v>
      </c>
      <c r="K396" s="68">
        <v>0</v>
      </c>
      <c r="L396" s="68">
        <v>10440</v>
      </c>
      <c r="M396" s="68">
        <v>0</v>
      </c>
      <c r="N396" s="68">
        <v>0</v>
      </c>
      <c r="O396" s="68">
        <v>37990</v>
      </c>
      <c r="P396" s="68">
        <v>6960</v>
      </c>
      <c r="Q396" s="68">
        <f>SUM(E396:P396)</f>
        <v>57130</v>
      </c>
      <c r="R396" s="65"/>
    </row>
    <row r="397" spans="1:18" s="66" customFormat="1">
      <c r="A397" s="67">
        <v>396</v>
      </c>
      <c r="B397" s="78" t="s">
        <v>725</v>
      </c>
      <c r="C397" s="79" t="s">
        <v>726</v>
      </c>
      <c r="D397" s="79" t="s">
        <v>28</v>
      </c>
      <c r="E397" s="68">
        <v>0</v>
      </c>
      <c r="F397" s="68">
        <v>0</v>
      </c>
      <c r="G397" s="68">
        <v>0</v>
      </c>
      <c r="H397" s="68">
        <v>0</v>
      </c>
      <c r="I397" s="68">
        <v>0</v>
      </c>
      <c r="J397" s="68">
        <v>0</v>
      </c>
      <c r="K397" s="68">
        <v>0</v>
      </c>
      <c r="L397" s="68">
        <v>0</v>
      </c>
      <c r="M397" s="68">
        <v>32400</v>
      </c>
      <c r="N397" s="68">
        <v>0</v>
      </c>
      <c r="O397" s="68">
        <v>0</v>
      </c>
      <c r="P397" s="68">
        <v>0</v>
      </c>
      <c r="Q397" s="68">
        <f>SUM(E397:P397)</f>
        <v>32400</v>
      </c>
      <c r="R397" s="65"/>
    </row>
    <row r="398" spans="1:18" s="66" customFormat="1">
      <c r="A398" s="67">
        <v>397</v>
      </c>
      <c r="B398" s="78" t="s">
        <v>727</v>
      </c>
      <c r="C398" s="79" t="s">
        <v>728</v>
      </c>
      <c r="D398" s="79" t="s">
        <v>177</v>
      </c>
      <c r="E398" s="68">
        <v>0</v>
      </c>
      <c r="F398" s="68">
        <v>0</v>
      </c>
      <c r="G398" s="68">
        <v>0</v>
      </c>
      <c r="H398" s="68">
        <v>0</v>
      </c>
      <c r="I398" s="68">
        <v>0</v>
      </c>
      <c r="J398" s="68">
        <v>0</v>
      </c>
      <c r="K398" s="68">
        <v>0</v>
      </c>
      <c r="L398" s="68">
        <v>0</v>
      </c>
      <c r="M398" s="68">
        <v>0</v>
      </c>
      <c r="N398" s="68">
        <v>0</v>
      </c>
      <c r="O398" s="68">
        <v>0</v>
      </c>
      <c r="P398" s="68">
        <v>9300</v>
      </c>
      <c r="Q398" s="68">
        <f>SUM(E398:P398)</f>
        <v>9300</v>
      </c>
      <c r="R398" s="65"/>
    </row>
    <row r="399" spans="1:18" s="66" customFormat="1">
      <c r="A399" s="67">
        <v>398</v>
      </c>
      <c r="B399" s="78" t="s">
        <v>729</v>
      </c>
      <c r="C399" s="79" t="s">
        <v>730</v>
      </c>
      <c r="D399" s="79" t="s">
        <v>28</v>
      </c>
      <c r="E399" s="68">
        <v>0</v>
      </c>
      <c r="F399" s="68">
        <v>0</v>
      </c>
      <c r="G399" s="68">
        <v>0</v>
      </c>
      <c r="H399" s="68">
        <v>0</v>
      </c>
      <c r="I399" s="68">
        <v>0</v>
      </c>
      <c r="J399" s="68">
        <v>0</v>
      </c>
      <c r="K399" s="68">
        <v>0</v>
      </c>
      <c r="L399" s="68">
        <v>15700</v>
      </c>
      <c r="M399" s="68">
        <v>0</v>
      </c>
      <c r="N399" s="68">
        <v>0</v>
      </c>
      <c r="O399" s="68">
        <v>0</v>
      </c>
      <c r="P399" s="68">
        <v>0</v>
      </c>
      <c r="Q399" s="68">
        <f>SUM(E399:P399)</f>
        <v>15700</v>
      </c>
      <c r="R399" s="65"/>
    </row>
    <row r="400" spans="1:18" s="66" customFormat="1">
      <c r="A400" s="67">
        <v>399</v>
      </c>
      <c r="B400" s="78" t="s">
        <v>731</v>
      </c>
      <c r="C400" s="79" t="s">
        <v>23</v>
      </c>
      <c r="D400" s="79" t="s">
        <v>30</v>
      </c>
      <c r="E400" s="68">
        <v>0</v>
      </c>
      <c r="F400" s="68">
        <v>0</v>
      </c>
      <c r="G400" s="68">
        <v>0</v>
      </c>
      <c r="H400" s="68">
        <v>0</v>
      </c>
      <c r="I400" s="68">
        <v>0</v>
      </c>
      <c r="J400" s="68">
        <v>0</v>
      </c>
      <c r="K400" s="68">
        <v>0</v>
      </c>
      <c r="L400" s="68">
        <v>2800</v>
      </c>
      <c r="M400" s="68">
        <v>0</v>
      </c>
      <c r="N400" s="68">
        <v>0</v>
      </c>
      <c r="O400" s="68">
        <v>0</v>
      </c>
      <c r="P400" s="68">
        <v>0</v>
      </c>
      <c r="Q400" s="68">
        <f>SUM(E400:P400)</f>
        <v>2800</v>
      </c>
      <c r="R400" s="65"/>
    </row>
    <row r="401" spans="1:18" s="66" customFormat="1">
      <c r="A401" s="67">
        <v>400</v>
      </c>
      <c r="B401" s="78" t="s">
        <v>732</v>
      </c>
      <c r="C401" s="79" t="s">
        <v>733</v>
      </c>
      <c r="D401" s="79" t="s">
        <v>342</v>
      </c>
      <c r="E401" s="68">
        <v>0</v>
      </c>
      <c r="F401" s="68">
        <v>0</v>
      </c>
      <c r="G401" s="68">
        <v>0</v>
      </c>
      <c r="H401" s="68">
        <v>0</v>
      </c>
      <c r="I401" s="68">
        <v>0</v>
      </c>
      <c r="J401" s="68">
        <v>17100</v>
      </c>
      <c r="K401" s="68">
        <v>0</v>
      </c>
      <c r="L401" s="68">
        <v>0</v>
      </c>
      <c r="M401" s="68">
        <v>0</v>
      </c>
      <c r="N401" s="68">
        <v>0</v>
      </c>
      <c r="O401" s="68">
        <v>0</v>
      </c>
      <c r="P401" s="68" t="s">
        <v>23</v>
      </c>
      <c r="Q401" s="68">
        <f>SUM(E401:P401)</f>
        <v>17100</v>
      </c>
      <c r="R401" s="65"/>
    </row>
    <row r="402" spans="1:18" s="66" customFormat="1">
      <c r="A402" s="67">
        <v>401</v>
      </c>
      <c r="B402" s="78" t="s">
        <v>734</v>
      </c>
      <c r="C402" s="79" t="s">
        <v>735</v>
      </c>
      <c r="D402" s="79" t="s">
        <v>69</v>
      </c>
      <c r="E402" s="68">
        <v>0</v>
      </c>
      <c r="F402" s="68">
        <v>55000</v>
      </c>
      <c r="G402" s="68">
        <v>0</v>
      </c>
      <c r="H402" s="68">
        <v>0</v>
      </c>
      <c r="I402" s="68">
        <v>0</v>
      </c>
      <c r="J402" s="68">
        <v>0</v>
      </c>
      <c r="K402" s="68">
        <v>0</v>
      </c>
      <c r="L402" s="68">
        <v>0</v>
      </c>
      <c r="M402" s="68">
        <v>0</v>
      </c>
      <c r="N402" s="68">
        <v>0</v>
      </c>
      <c r="O402" s="68">
        <v>0</v>
      </c>
      <c r="P402" s="68">
        <v>0</v>
      </c>
      <c r="Q402" s="68">
        <f>SUM(E402:P402)</f>
        <v>55000</v>
      </c>
      <c r="R402" s="65"/>
    </row>
    <row r="403" spans="1:18" s="66" customFormat="1">
      <c r="A403" s="67">
        <v>402</v>
      </c>
      <c r="B403" s="78" t="s">
        <v>736</v>
      </c>
      <c r="C403" s="79" t="s">
        <v>737</v>
      </c>
      <c r="D403" s="79" t="s">
        <v>72</v>
      </c>
      <c r="E403" s="68">
        <v>0</v>
      </c>
      <c r="F403" s="68">
        <v>0</v>
      </c>
      <c r="G403" s="68">
        <v>0</v>
      </c>
      <c r="H403" s="68">
        <v>0</v>
      </c>
      <c r="I403" s="68">
        <v>0</v>
      </c>
      <c r="J403" s="68">
        <v>0</v>
      </c>
      <c r="K403" s="68">
        <v>0</v>
      </c>
      <c r="L403" s="68">
        <v>0</v>
      </c>
      <c r="M403" s="68">
        <v>0</v>
      </c>
      <c r="N403" s="68">
        <v>14000</v>
      </c>
      <c r="O403" s="68">
        <v>0</v>
      </c>
      <c r="P403" s="68">
        <v>0</v>
      </c>
      <c r="Q403" s="68">
        <f>SUM(E403:P403)</f>
        <v>14000</v>
      </c>
      <c r="R403" s="65"/>
    </row>
    <row r="404" spans="1:18" s="66" customFormat="1" ht="30.75">
      <c r="A404" s="67">
        <v>403</v>
      </c>
      <c r="B404" s="78" t="s">
        <v>738</v>
      </c>
      <c r="C404" s="79" t="s">
        <v>739</v>
      </c>
      <c r="D404" s="79" t="s">
        <v>433</v>
      </c>
      <c r="E404" s="68">
        <v>0</v>
      </c>
      <c r="F404" s="68">
        <v>0</v>
      </c>
      <c r="G404" s="68">
        <v>0</v>
      </c>
      <c r="H404" s="68">
        <v>0</v>
      </c>
      <c r="I404" s="68">
        <v>0</v>
      </c>
      <c r="J404" s="68">
        <v>0</v>
      </c>
      <c r="K404" s="68">
        <v>0</v>
      </c>
      <c r="L404" s="68">
        <v>0</v>
      </c>
      <c r="M404" s="68">
        <v>53420</v>
      </c>
      <c r="N404" s="68">
        <v>0</v>
      </c>
      <c r="O404" s="68">
        <v>0</v>
      </c>
      <c r="P404" s="68">
        <v>0</v>
      </c>
      <c r="Q404" s="68">
        <f>SUM(E404:P404)</f>
        <v>53420</v>
      </c>
      <c r="R404" s="65"/>
    </row>
    <row r="405" spans="1:18" s="66" customFormat="1">
      <c r="A405" s="67">
        <v>404</v>
      </c>
      <c r="B405" s="78" t="s">
        <v>740</v>
      </c>
      <c r="C405" s="79" t="s">
        <v>741</v>
      </c>
      <c r="D405" s="79" t="s">
        <v>19</v>
      </c>
      <c r="E405" s="68">
        <v>0</v>
      </c>
      <c r="F405" s="68">
        <v>0</v>
      </c>
      <c r="G405" s="68">
        <v>0</v>
      </c>
      <c r="H405" s="68">
        <v>0</v>
      </c>
      <c r="I405" s="68">
        <v>0</v>
      </c>
      <c r="J405" s="68">
        <v>0</v>
      </c>
      <c r="K405" s="68">
        <v>0</v>
      </c>
      <c r="L405" s="68">
        <v>0</v>
      </c>
      <c r="M405" s="68">
        <v>0</v>
      </c>
      <c r="N405" s="68">
        <v>556728.80000000005</v>
      </c>
      <c r="O405" s="68">
        <v>124010</v>
      </c>
      <c r="P405" s="68">
        <v>203890</v>
      </c>
      <c r="Q405" s="68">
        <f>SUM(E405:P405)</f>
        <v>884628.8</v>
      </c>
      <c r="R405" s="65"/>
    </row>
    <row r="406" spans="1:18" s="66" customFormat="1">
      <c r="A406" s="67">
        <v>405</v>
      </c>
      <c r="B406" s="78" t="s">
        <v>742</v>
      </c>
      <c r="C406" s="79" t="s">
        <v>743</v>
      </c>
      <c r="D406" s="79" t="s">
        <v>177</v>
      </c>
      <c r="E406" s="68">
        <v>50400</v>
      </c>
      <c r="F406" s="68">
        <v>0</v>
      </c>
      <c r="G406" s="68">
        <v>0</v>
      </c>
      <c r="H406" s="68">
        <v>0</v>
      </c>
      <c r="I406" s="68">
        <v>0</v>
      </c>
      <c r="J406" s="68">
        <v>0</v>
      </c>
      <c r="K406" s="68">
        <v>0</v>
      </c>
      <c r="L406" s="68">
        <v>0</v>
      </c>
      <c r="M406" s="68">
        <v>0</v>
      </c>
      <c r="N406" s="68">
        <v>0</v>
      </c>
      <c r="O406" s="68">
        <v>10700</v>
      </c>
      <c r="P406" s="68">
        <v>0</v>
      </c>
      <c r="Q406" s="68">
        <f>SUM(E406:P406)</f>
        <v>61100</v>
      </c>
      <c r="R406" s="65"/>
    </row>
    <row r="407" spans="1:18" s="66" customFormat="1">
      <c r="A407" s="67">
        <v>406</v>
      </c>
      <c r="B407" s="78" t="s">
        <v>744</v>
      </c>
      <c r="C407" s="79" t="s">
        <v>745</v>
      </c>
      <c r="D407" s="79" t="s">
        <v>90</v>
      </c>
      <c r="E407" s="68">
        <v>0</v>
      </c>
      <c r="F407" s="68">
        <v>0</v>
      </c>
      <c r="G407" s="68">
        <v>0</v>
      </c>
      <c r="H407" s="68">
        <v>0</v>
      </c>
      <c r="I407" s="68">
        <v>0</v>
      </c>
      <c r="J407" s="68">
        <v>0</v>
      </c>
      <c r="K407" s="68">
        <v>0</v>
      </c>
      <c r="L407" s="68">
        <v>17950</v>
      </c>
      <c r="M407" s="68">
        <v>0</v>
      </c>
      <c r="N407" s="68">
        <v>0</v>
      </c>
      <c r="O407" s="68">
        <v>0</v>
      </c>
      <c r="P407" s="68">
        <v>0</v>
      </c>
      <c r="Q407" s="68">
        <f>SUM(E407:P407)</f>
        <v>17950</v>
      </c>
      <c r="R407" s="65"/>
    </row>
    <row r="408" spans="1:18" s="66" customFormat="1">
      <c r="A408" s="67">
        <v>407</v>
      </c>
      <c r="B408" s="78" t="s">
        <v>746</v>
      </c>
      <c r="C408" s="79" t="s">
        <v>23</v>
      </c>
      <c r="D408" s="79" t="s">
        <v>30</v>
      </c>
      <c r="E408" s="68">
        <v>0</v>
      </c>
      <c r="F408" s="68">
        <v>0</v>
      </c>
      <c r="G408" s="68">
        <v>0</v>
      </c>
      <c r="H408" s="68">
        <v>0</v>
      </c>
      <c r="I408" s="68">
        <v>0</v>
      </c>
      <c r="J408" s="68">
        <v>0</v>
      </c>
      <c r="K408" s="68">
        <v>0</v>
      </c>
      <c r="L408" s="68">
        <v>221705</v>
      </c>
      <c r="M408" s="68">
        <v>0</v>
      </c>
      <c r="N408" s="68">
        <v>0</v>
      </c>
      <c r="O408" s="68">
        <v>4548.25</v>
      </c>
      <c r="P408" s="68">
        <v>0</v>
      </c>
      <c r="Q408" s="68">
        <f>SUM(E408:P408)</f>
        <v>226253.25</v>
      </c>
      <c r="R408" s="65"/>
    </row>
    <row r="409" spans="1:18" s="66" customFormat="1">
      <c r="A409" s="67">
        <v>408</v>
      </c>
      <c r="B409" s="78" t="s">
        <v>747</v>
      </c>
      <c r="C409" s="79" t="s">
        <v>748</v>
      </c>
      <c r="D409" s="79" t="s">
        <v>69</v>
      </c>
      <c r="E409" s="68">
        <v>0</v>
      </c>
      <c r="F409" s="68">
        <v>0</v>
      </c>
      <c r="G409" s="68">
        <v>20200</v>
      </c>
      <c r="H409" s="68">
        <v>0</v>
      </c>
      <c r="I409" s="68">
        <v>0</v>
      </c>
      <c r="J409" s="68">
        <v>0</v>
      </c>
      <c r="K409" s="68">
        <v>0</v>
      </c>
      <c r="L409" s="68">
        <v>0</v>
      </c>
      <c r="M409" s="68">
        <v>0</v>
      </c>
      <c r="N409" s="68">
        <v>0</v>
      </c>
      <c r="O409" s="68">
        <v>0</v>
      </c>
      <c r="P409" s="68">
        <v>18750</v>
      </c>
      <c r="Q409" s="68">
        <f>SUM(E409:P409)</f>
        <v>38950</v>
      </c>
      <c r="R409" s="65"/>
    </row>
    <row r="410" spans="1:18" s="66" customFormat="1">
      <c r="A410" s="67">
        <v>409</v>
      </c>
      <c r="B410" s="78" t="s">
        <v>749</v>
      </c>
      <c r="C410" s="79" t="s">
        <v>750</v>
      </c>
      <c r="D410" s="79" t="s">
        <v>90</v>
      </c>
      <c r="E410" s="68">
        <v>0</v>
      </c>
      <c r="F410" s="68">
        <v>0</v>
      </c>
      <c r="G410" s="68">
        <v>0</v>
      </c>
      <c r="H410" s="68">
        <v>0</v>
      </c>
      <c r="I410" s="68">
        <v>0</v>
      </c>
      <c r="J410" s="68">
        <v>0</v>
      </c>
      <c r="K410" s="68">
        <v>0</v>
      </c>
      <c r="L410" s="68">
        <v>0</v>
      </c>
      <c r="M410" s="68">
        <v>0</v>
      </c>
      <c r="N410" s="68">
        <v>0</v>
      </c>
      <c r="O410" s="68">
        <v>2000</v>
      </c>
      <c r="P410" s="68">
        <v>0</v>
      </c>
      <c r="Q410" s="68">
        <f>SUM(E410:P410)</f>
        <v>2000</v>
      </c>
      <c r="R410" s="65"/>
    </row>
    <row r="411" spans="1:18" s="66" customFormat="1">
      <c r="A411" s="67">
        <v>410</v>
      </c>
      <c r="B411" s="78" t="s">
        <v>751</v>
      </c>
      <c r="C411" s="79" t="s">
        <v>23</v>
      </c>
      <c r="D411" s="79" t="s">
        <v>30</v>
      </c>
      <c r="E411" s="68">
        <v>0</v>
      </c>
      <c r="F411" s="68">
        <v>0</v>
      </c>
      <c r="G411" s="68">
        <v>0</v>
      </c>
      <c r="H411" s="68">
        <v>0</v>
      </c>
      <c r="I411" s="68">
        <v>0</v>
      </c>
      <c r="J411" s="68">
        <v>1700</v>
      </c>
      <c r="K411" s="68">
        <v>0</v>
      </c>
      <c r="L411" s="68">
        <v>0</v>
      </c>
      <c r="M411" s="68">
        <v>0</v>
      </c>
      <c r="N411" s="68">
        <v>0</v>
      </c>
      <c r="O411" s="68">
        <v>0</v>
      </c>
      <c r="P411" s="68">
        <v>0</v>
      </c>
      <c r="Q411" s="68">
        <f>SUM(E411:P411)</f>
        <v>1700</v>
      </c>
      <c r="R411" s="65"/>
    </row>
    <row r="412" spans="1:18" s="66" customFormat="1">
      <c r="A412" s="67">
        <v>411</v>
      </c>
      <c r="B412" s="78" t="s">
        <v>752</v>
      </c>
      <c r="C412" s="79" t="s">
        <v>23</v>
      </c>
      <c r="D412" s="79" t="s">
        <v>30</v>
      </c>
      <c r="E412" s="68">
        <v>0</v>
      </c>
      <c r="F412" s="68">
        <v>0</v>
      </c>
      <c r="G412" s="68">
        <v>0</v>
      </c>
      <c r="H412" s="68">
        <v>0</v>
      </c>
      <c r="I412" s="68">
        <v>0</v>
      </c>
      <c r="J412" s="68">
        <v>0</v>
      </c>
      <c r="K412" s="68">
        <v>0</v>
      </c>
      <c r="L412" s="68">
        <v>0</v>
      </c>
      <c r="M412" s="68">
        <v>0</v>
      </c>
      <c r="N412" s="68">
        <v>0</v>
      </c>
      <c r="O412" s="68">
        <v>2359</v>
      </c>
      <c r="P412" s="68">
        <v>0</v>
      </c>
      <c r="Q412" s="68">
        <f>SUM(E412:P412)</f>
        <v>2359</v>
      </c>
      <c r="R412" s="65"/>
    </row>
    <row r="413" spans="1:18" s="66" customFormat="1">
      <c r="A413" s="67">
        <v>412</v>
      </c>
      <c r="B413" s="78" t="s">
        <v>753</v>
      </c>
      <c r="C413" s="79" t="s">
        <v>23</v>
      </c>
      <c r="D413" s="79" t="s">
        <v>30</v>
      </c>
      <c r="E413" s="68">
        <v>0</v>
      </c>
      <c r="F413" s="68">
        <v>0</v>
      </c>
      <c r="G413" s="68">
        <v>0</v>
      </c>
      <c r="H413" s="68">
        <v>0</v>
      </c>
      <c r="I413" s="68">
        <v>0</v>
      </c>
      <c r="J413" s="68">
        <v>7370</v>
      </c>
      <c r="K413" s="68">
        <v>0</v>
      </c>
      <c r="L413" s="68">
        <v>0</v>
      </c>
      <c r="M413" s="68">
        <v>0</v>
      </c>
      <c r="N413" s="68">
        <v>0</v>
      </c>
      <c r="O413" s="68">
        <v>0</v>
      </c>
      <c r="P413" s="68">
        <v>0</v>
      </c>
      <c r="Q413" s="68">
        <f>SUM(E413:P413)</f>
        <v>7370</v>
      </c>
      <c r="R413" s="65"/>
    </row>
    <row r="414" spans="1:18" s="66" customFormat="1">
      <c r="A414" s="67">
        <v>413</v>
      </c>
      <c r="B414" s="78" t="s">
        <v>754</v>
      </c>
      <c r="C414" s="79" t="s">
        <v>755</v>
      </c>
      <c r="D414" s="79" t="s">
        <v>28</v>
      </c>
      <c r="E414" s="68">
        <v>0</v>
      </c>
      <c r="F414" s="68">
        <v>23350</v>
      </c>
      <c r="G414" s="68">
        <v>0</v>
      </c>
      <c r="H414" s="68">
        <v>0</v>
      </c>
      <c r="I414" s="68">
        <v>0</v>
      </c>
      <c r="J414" s="68">
        <v>0</v>
      </c>
      <c r="K414" s="68">
        <v>0</v>
      </c>
      <c r="L414" s="68">
        <v>0</v>
      </c>
      <c r="M414" s="68">
        <v>0</v>
      </c>
      <c r="N414" s="68">
        <v>0</v>
      </c>
      <c r="O414" s="68">
        <v>0</v>
      </c>
      <c r="P414" s="68">
        <v>0</v>
      </c>
      <c r="Q414" s="68">
        <f>SUM(E414:P414)</f>
        <v>23350</v>
      </c>
      <c r="R414" s="65"/>
    </row>
    <row r="415" spans="1:18" s="66" customFormat="1">
      <c r="A415" s="67">
        <v>414</v>
      </c>
      <c r="B415" s="78" t="s">
        <v>756</v>
      </c>
      <c r="C415" s="79" t="s">
        <v>757</v>
      </c>
      <c r="D415" s="79" t="s">
        <v>19</v>
      </c>
      <c r="E415" s="68" t="s">
        <v>23</v>
      </c>
      <c r="F415" s="68">
        <v>11380</v>
      </c>
      <c r="G415" s="68">
        <v>0</v>
      </c>
      <c r="H415" s="68">
        <v>0</v>
      </c>
      <c r="I415" s="68">
        <v>0</v>
      </c>
      <c r="J415" s="68">
        <v>0</v>
      </c>
      <c r="K415" s="68">
        <v>0</v>
      </c>
      <c r="L415" s="68">
        <v>27600</v>
      </c>
      <c r="M415" s="68">
        <v>0</v>
      </c>
      <c r="N415" s="68">
        <v>0</v>
      </c>
      <c r="O415" s="68">
        <v>29700</v>
      </c>
      <c r="P415" s="68">
        <v>47100</v>
      </c>
      <c r="Q415" s="68">
        <f>SUM(E415:P415)</f>
        <v>115780</v>
      </c>
      <c r="R415" s="65"/>
    </row>
    <row r="416" spans="1:18" s="66" customFormat="1">
      <c r="A416" s="67">
        <v>415</v>
      </c>
      <c r="B416" s="78" t="s">
        <v>758</v>
      </c>
      <c r="C416" s="79" t="s">
        <v>759</v>
      </c>
      <c r="D416" s="79" t="s">
        <v>19</v>
      </c>
      <c r="E416" s="68">
        <v>651952</v>
      </c>
      <c r="F416" s="68">
        <v>0</v>
      </c>
      <c r="G416" s="68">
        <v>228000</v>
      </c>
      <c r="H416" s="68">
        <v>0</v>
      </c>
      <c r="I416" s="68">
        <v>123000</v>
      </c>
      <c r="J416" s="68">
        <v>0</v>
      </c>
      <c r="K416" s="68">
        <v>0</v>
      </c>
      <c r="L416" s="68">
        <v>0</v>
      </c>
      <c r="M416" s="68">
        <v>0</v>
      </c>
      <c r="N416" s="68">
        <v>0</v>
      </c>
      <c r="O416" s="68">
        <v>0</v>
      </c>
      <c r="P416" s="68">
        <v>0</v>
      </c>
      <c r="Q416" s="68">
        <f>SUM(E416:P416)</f>
        <v>1002952</v>
      </c>
      <c r="R416" s="65"/>
    </row>
    <row r="417" spans="1:18" s="66" customFormat="1">
      <c r="A417" s="67">
        <v>416</v>
      </c>
      <c r="B417" s="78" t="s">
        <v>760</v>
      </c>
      <c r="C417" s="79" t="s">
        <v>761</v>
      </c>
      <c r="D417" s="79" t="s">
        <v>90</v>
      </c>
      <c r="E417" s="68">
        <v>0</v>
      </c>
      <c r="F417" s="68">
        <v>0</v>
      </c>
      <c r="G417" s="68">
        <v>0</v>
      </c>
      <c r="H417" s="68">
        <v>0</v>
      </c>
      <c r="I417" s="68">
        <v>37200</v>
      </c>
      <c r="J417" s="68">
        <v>0</v>
      </c>
      <c r="K417" s="68">
        <v>58215</v>
      </c>
      <c r="L417" s="68">
        <v>182127.5</v>
      </c>
      <c r="M417" s="68">
        <v>160912.5</v>
      </c>
      <c r="N417" s="68">
        <v>0</v>
      </c>
      <c r="O417" s="68">
        <v>51187.5</v>
      </c>
      <c r="P417" s="68">
        <v>75300</v>
      </c>
      <c r="Q417" s="68">
        <f>SUM(E417:P417)</f>
        <v>564942.5</v>
      </c>
      <c r="R417" s="65"/>
    </row>
    <row r="418" spans="1:18" s="66" customFormat="1">
      <c r="A418" s="67">
        <v>417</v>
      </c>
      <c r="B418" s="78" t="s">
        <v>762</v>
      </c>
      <c r="C418" s="79" t="s">
        <v>763</v>
      </c>
      <c r="D418" s="79" t="s">
        <v>90</v>
      </c>
      <c r="E418" s="68">
        <v>0</v>
      </c>
      <c r="F418" s="68">
        <v>0</v>
      </c>
      <c r="G418" s="68">
        <v>0</v>
      </c>
      <c r="H418" s="68">
        <v>0</v>
      </c>
      <c r="I418" s="68">
        <v>0</v>
      </c>
      <c r="J418" s="68">
        <v>0</v>
      </c>
      <c r="K418" s="68">
        <v>0</v>
      </c>
      <c r="L418" s="68">
        <v>12000</v>
      </c>
      <c r="M418" s="68">
        <v>0</v>
      </c>
      <c r="N418" s="68">
        <v>24000</v>
      </c>
      <c r="O418" s="68">
        <v>0</v>
      </c>
      <c r="P418" s="68">
        <v>0</v>
      </c>
      <c r="Q418" s="68">
        <f>SUM(E418:P418)</f>
        <v>36000</v>
      </c>
      <c r="R418" s="65"/>
    </row>
    <row r="419" spans="1:18" s="66" customFormat="1">
      <c r="A419" s="67">
        <v>418</v>
      </c>
      <c r="B419" s="78" t="s">
        <v>764</v>
      </c>
      <c r="C419" s="79" t="s">
        <v>765</v>
      </c>
      <c r="D419" s="79" t="s">
        <v>69</v>
      </c>
      <c r="E419" s="68">
        <v>47376</v>
      </c>
      <c r="F419" s="68">
        <v>0</v>
      </c>
      <c r="G419" s="68">
        <v>9000</v>
      </c>
      <c r="H419" s="68">
        <v>9000</v>
      </c>
      <c r="I419" s="68">
        <v>0</v>
      </c>
      <c r="J419" s="68">
        <v>37600</v>
      </c>
      <c r="K419" s="68">
        <v>72160</v>
      </c>
      <c r="L419" s="68">
        <v>28000</v>
      </c>
      <c r="M419" s="68">
        <v>8000</v>
      </c>
      <c r="N419" s="68">
        <v>0</v>
      </c>
      <c r="O419" s="68">
        <v>90080</v>
      </c>
      <c r="P419" s="68">
        <v>0</v>
      </c>
      <c r="Q419" s="68">
        <f>SUM(E419:P419)</f>
        <v>301216</v>
      </c>
      <c r="R419" s="65"/>
    </row>
    <row r="420" spans="1:18" s="66" customFormat="1" ht="30.75">
      <c r="A420" s="67">
        <v>419</v>
      </c>
      <c r="B420" s="78" t="s">
        <v>766</v>
      </c>
      <c r="C420" s="79" t="s">
        <v>767</v>
      </c>
      <c r="D420" s="79" t="s">
        <v>177</v>
      </c>
      <c r="E420" s="68">
        <v>0</v>
      </c>
      <c r="F420" s="68">
        <v>0</v>
      </c>
      <c r="G420" s="68">
        <v>0</v>
      </c>
      <c r="H420" s="68">
        <v>0</v>
      </c>
      <c r="I420" s="68">
        <v>38500</v>
      </c>
      <c r="J420" s="68">
        <v>0</v>
      </c>
      <c r="K420" s="68">
        <v>0</v>
      </c>
      <c r="L420" s="68">
        <v>0</v>
      </c>
      <c r="M420" s="68">
        <v>0</v>
      </c>
      <c r="N420" s="68">
        <v>0</v>
      </c>
      <c r="O420" s="68">
        <v>0</v>
      </c>
      <c r="P420" s="68">
        <v>0</v>
      </c>
      <c r="Q420" s="68">
        <f>SUM(E420:P420)</f>
        <v>38500</v>
      </c>
      <c r="R420" s="65"/>
    </row>
    <row r="421" spans="1:18" s="66" customFormat="1">
      <c r="A421" s="67">
        <v>420</v>
      </c>
      <c r="B421" s="78" t="s">
        <v>768</v>
      </c>
      <c r="C421" s="79" t="s">
        <v>23</v>
      </c>
      <c r="D421" s="79" t="s">
        <v>30</v>
      </c>
      <c r="E421" s="68">
        <v>0</v>
      </c>
      <c r="F421" s="68">
        <v>0</v>
      </c>
      <c r="G421" s="68">
        <v>0</v>
      </c>
      <c r="H421" s="68">
        <v>0</v>
      </c>
      <c r="I421" s="68">
        <v>0</v>
      </c>
      <c r="J421" s="68">
        <v>0</v>
      </c>
      <c r="K421" s="68">
        <v>0</v>
      </c>
      <c r="L421" s="68">
        <v>0</v>
      </c>
      <c r="M421" s="68">
        <v>1810</v>
      </c>
      <c r="N421" s="68">
        <v>0</v>
      </c>
      <c r="O421" s="68">
        <v>0</v>
      </c>
      <c r="P421" s="68">
        <v>0</v>
      </c>
      <c r="Q421" s="68">
        <f>SUM(E421:P421)</f>
        <v>1810</v>
      </c>
      <c r="R421" s="65"/>
    </row>
    <row r="422" spans="1:18" s="66" customFormat="1">
      <c r="A422" s="67">
        <v>421</v>
      </c>
      <c r="B422" s="78" t="s">
        <v>769</v>
      </c>
      <c r="C422" s="79" t="s">
        <v>770</v>
      </c>
      <c r="D422" s="79" t="s">
        <v>90</v>
      </c>
      <c r="E422" s="68">
        <v>0</v>
      </c>
      <c r="F422" s="68">
        <v>7400</v>
      </c>
      <c r="G422" s="68">
        <v>58320</v>
      </c>
      <c r="H422" s="68">
        <v>0</v>
      </c>
      <c r="I422" s="68">
        <v>0</v>
      </c>
      <c r="J422" s="68">
        <v>0</v>
      </c>
      <c r="K422" s="68">
        <v>0</v>
      </c>
      <c r="L422" s="68">
        <v>0</v>
      </c>
      <c r="M422" s="68">
        <v>0</v>
      </c>
      <c r="N422" s="68">
        <v>0</v>
      </c>
      <c r="O422" s="68">
        <v>0</v>
      </c>
      <c r="P422" s="68">
        <v>0</v>
      </c>
      <c r="Q422" s="68">
        <f>SUM(E422:P422)</f>
        <v>65720</v>
      </c>
      <c r="R422" s="65"/>
    </row>
    <row r="423" spans="1:18" s="66" customFormat="1">
      <c r="A423" s="67">
        <v>422</v>
      </c>
      <c r="B423" s="78" t="s">
        <v>771</v>
      </c>
      <c r="C423" s="79" t="s">
        <v>23</v>
      </c>
      <c r="D423" s="79" t="s">
        <v>30</v>
      </c>
      <c r="E423" s="68">
        <v>0</v>
      </c>
      <c r="F423" s="68">
        <v>0</v>
      </c>
      <c r="G423" s="68">
        <v>0</v>
      </c>
      <c r="H423" s="68">
        <v>0</v>
      </c>
      <c r="I423" s="68">
        <v>0</v>
      </c>
      <c r="J423" s="68">
        <v>0</v>
      </c>
      <c r="K423" s="68">
        <v>0</v>
      </c>
      <c r="L423" s="68">
        <v>4600</v>
      </c>
      <c r="M423" s="68">
        <v>0</v>
      </c>
      <c r="N423" s="68">
        <v>0</v>
      </c>
      <c r="O423" s="68">
        <v>0</v>
      </c>
      <c r="P423" s="68">
        <v>0</v>
      </c>
      <c r="Q423" s="68">
        <f>SUM(E423:P423)</f>
        <v>4600</v>
      </c>
      <c r="R423" s="65"/>
    </row>
    <row r="424" spans="1:18" s="66" customFormat="1">
      <c r="A424" s="67">
        <v>423</v>
      </c>
      <c r="B424" s="78" t="s">
        <v>772</v>
      </c>
      <c r="C424" s="79" t="s">
        <v>773</v>
      </c>
      <c r="D424" s="79" t="s">
        <v>19</v>
      </c>
      <c r="E424" s="68">
        <v>0</v>
      </c>
      <c r="F424" s="68">
        <v>0</v>
      </c>
      <c r="G424" s="68">
        <v>0</v>
      </c>
      <c r="H424" s="68">
        <v>0</v>
      </c>
      <c r="I424" s="68">
        <v>0</v>
      </c>
      <c r="J424" s="68">
        <v>5700</v>
      </c>
      <c r="K424" s="68">
        <v>0</v>
      </c>
      <c r="L424" s="68">
        <v>0</v>
      </c>
      <c r="M424" s="68">
        <v>0</v>
      </c>
      <c r="N424" s="68">
        <v>0</v>
      </c>
      <c r="O424" s="68">
        <v>0</v>
      </c>
      <c r="P424" s="68">
        <v>0</v>
      </c>
      <c r="Q424" s="68">
        <f>SUM(E424:P424)</f>
        <v>5700</v>
      </c>
      <c r="R424" s="65"/>
    </row>
    <row r="425" spans="1:18" s="66" customFormat="1">
      <c r="A425" s="67">
        <v>424</v>
      </c>
      <c r="B425" s="78" t="s">
        <v>774</v>
      </c>
      <c r="C425" s="79" t="s">
        <v>775</v>
      </c>
      <c r="D425" s="79" t="s">
        <v>19</v>
      </c>
      <c r="E425" s="68">
        <v>0</v>
      </c>
      <c r="F425" s="68">
        <v>0</v>
      </c>
      <c r="G425" s="68">
        <v>0</v>
      </c>
      <c r="H425" s="68">
        <v>0</v>
      </c>
      <c r="I425" s="68">
        <v>0</v>
      </c>
      <c r="J425" s="68">
        <v>0</v>
      </c>
      <c r="K425" s="68">
        <v>0</v>
      </c>
      <c r="L425" s="68">
        <v>0</v>
      </c>
      <c r="M425" s="68">
        <v>0</v>
      </c>
      <c r="N425" s="68">
        <v>17865</v>
      </c>
      <c r="O425" s="68">
        <v>0</v>
      </c>
      <c r="P425" s="68">
        <v>4375</v>
      </c>
      <c r="Q425" s="68">
        <f>SUM(E425:P425)</f>
        <v>22240</v>
      </c>
      <c r="R425" s="65"/>
    </row>
    <row r="426" spans="1:18" s="66" customFormat="1">
      <c r="A426" s="67">
        <v>425</v>
      </c>
      <c r="B426" s="78" t="s">
        <v>776</v>
      </c>
      <c r="C426" s="79" t="s">
        <v>777</v>
      </c>
      <c r="D426" s="79" t="s">
        <v>19</v>
      </c>
      <c r="E426" s="68">
        <v>118437</v>
      </c>
      <c r="F426" s="68">
        <v>70810</v>
      </c>
      <c r="G426" s="68">
        <v>30480</v>
      </c>
      <c r="H426" s="68">
        <v>127440</v>
      </c>
      <c r="I426" s="68">
        <v>45500</v>
      </c>
      <c r="J426" s="68">
        <v>127840</v>
      </c>
      <c r="K426" s="68">
        <v>89735</v>
      </c>
      <c r="L426" s="68">
        <v>146410</v>
      </c>
      <c r="M426" s="68">
        <v>63485</v>
      </c>
      <c r="N426" s="68">
        <v>231300</v>
      </c>
      <c r="O426" s="68">
        <v>83600</v>
      </c>
      <c r="P426" s="68">
        <v>253180</v>
      </c>
      <c r="Q426" s="68">
        <f>SUM(E426:P426)</f>
        <v>1388217</v>
      </c>
      <c r="R426" s="65"/>
    </row>
    <row r="427" spans="1:18" s="66" customFormat="1">
      <c r="A427" s="67">
        <v>426</v>
      </c>
      <c r="B427" s="78" t="s">
        <v>778</v>
      </c>
      <c r="C427" s="79" t="s">
        <v>779</v>
      </c>
      <c r="D427" s="79" t="s">
        <v>104</v>
      </c>
      <c r="E427" s="68">
        <v>0</v>
      </c>
      <c r="F427" s="68">
        <v>0</v>
      </c>
      <c r="G427" s="68">
        <v>0</v>
      </c>
      <c r="H427" s="68">
        <v>0</v>
      </c>
      <c r="I427" s="68">
        <v>0</v>
      </c>
      <c r="J427" s="68">
        <v>6060</v>
      </c>
      <c r="K427" s="68">
        <v>0</v>
      </c>
      <c r="L427" s="68">
        <v>11190</v>
      </c>
      <c r="M427" s="68">
        <v>4660</v>
      </c>
      <c r="N427" s="68">
        <v>0</v>
      </c>
      <c r="O427" s="68">
        <v>0</v>
      </c>
      <c r="P427" s="68">
        <v>0</v>
      </c>
      <c r="Q427" s="68">
        <f>SUM(E427:P427)</f>
        <v>21910</v>
      </c>
      <c r="R427" s="65"/>
    </row>
    <row r="428" spans="1:18" s="66" customFormat="1">
      <c r="A428" s="67">
        <v>427</v>
      </c>
      <c r="B428" s="78" t="s">
        <v>780</v>
      </c>
      <c r="C428" s="79" t="s">
        <v>23</v>
      </c>
      <c r="D428" s="79" t="s">
        <v>30</v>
      </c>
      <c r="E428" s="68">
        <v>0</v>
      </c>
      <c r="F428" s="68">
        <v>7225</v>
      </c>
      <c r="G428" s="68">
        <v>0</v>
      </c>
      <c r="H428" s="68">
        <v>0</v>
      </c>
      <c r="I428" s="68">
        <v>0</v>
      </c>
      <c r="J428" s="68">
        <v>0</v>
      </c>
      <c r="K428" s="68">
        <v>0</v>
      </c>
      <c r="L428" s="68">
        <v>0</v>
      </c>
      <c r="M428" s="68">
        <v>0</v>
      </c>
      <c r="N428" s="68">
        <v>0</v>
      </c>
      <c r="O428" s="68">
        <v>0</v>
      </c>
      <c r="P428" s="68">
        <v>0</v>
      </c>
      <c r="Q428" s="68">
        <f>SUM(E428:P428)</f>
        <v>7225</v>
      </c>
      <c r="R428" s="65"/>
    </row>
    <row r="429" spans="1:18" s="66" customFormat="1">
      <c r="A429" s="67">
        <v>428</v>
      </c>
      <c r="B429" s="78" t="s">
        <v>781</v>
      </c>
      <c r="C429" s="79" t="s">
        <v>782</v>
      </c>
      <c r="D429" s="79" t="s">
        <v>90</v>
      </c>
      <c r="E429" s="68">
        <v>0</v>
      </c>
      <c r="F429" s="68">
        <v>0</v>
      </c>
      <c r="G429" s="68">
        <v>0</v>
      </c>
      <c r="H429" s="68">
        <v>0</v>
      </c>
      <c r="I429" s="68">
        <v>0</v>
      </c>
      <c r="J429" s="68">
        <v>0</v>
      </c>
      <c r="K429" s="68">
        <v>0</v>
      </c>
      <c r="L429" s="68">
        <v>0</v>
      </c>
      <c r="M429" s="68">
        <v>3300</v>
      </c>
      <c r="N429" s="68">
        <v>0</v>
      </c>
      <c r="O429" s="68">
        <v>0</v>
      </c>
      <c r="P429" s="68">
        <v>0</v>
      </c>
      <c r="Q429" s="68">
        <f>SUM(E429:P429)</f>
        <v>3300</v>
      </c>
      <c r="R429" s="65"/>
    </row>
    <row r="430" spans="1:18" s="66" customFormat="1">
      <c r="A430" s="67">
        <v>429</v>
      </c>
      <c r="B430" s="78" t="s">
        <v>783</v>
      </c>
      <c r="C430" s="79" t="s">
        <v>23</v>
      </c>
      <c r="D430" s="79" t="s">
        <v>30</v>
      </c>
      <c r="E430" s="68">
        <v>0</v>
      </c>
      <c r="F430" s="68">
        <v>0</v>
      </c>
      <c r="G430" s="68">
        <v>0</v>
      </c>
      <c r="H430" s="68">
        <v>0</v>
      </c>
      <c r="I430" s="68">
        <v>0</v>
      </c>
      <c r="J430" s="68">
        <v>0</v>
      </c>
      <c r="K430" s="68">
        <v>0</v>
      </c>
      <c r="L430" s="68">
        <v>3000</v>
      </c>
      <c r="M430" s="68">
        <v>0</v>
      </c>
      <c r="N430" s="68">
        <v>1000</v>
      </c>
      <c r="O430" s="68">
        <v>0</v>
      </c>
      <c r="P430" s="68">
        <v>0</v>
      </c>
      <c r="Q430" s="68">
        <f>SUM(E430:P430)</f>
        <v>4000</v>
      </c>
      <c r="R430" s="65"/>
    </row>
    <row r="431" spans="1:18" s="66" customFormat="1">
      <c r="A431" s="67">
        <v>430</v>
      </c>
      <c r="B431" s="78" t="s">
        <v>784</v>
      </c>
      <c r="C431" s="79" t="s">
        <v>785</v>
      </c>
      <c r="D431" s="79" t="s">
        <v>55</v>
      </c>
      <c r="E431" s="68">
        <v>0</v>
      </c>
      <c r="F431" s="68">
        <v>0</v>
      </c>
      <c r="G431" s="68">
        <v>0</v>
      </c>
      <c r="H431" s="68">
        <v>0</v>
      </c>
      <c r="I431" s="68">
        <v>0</v>
      </c>
      <c r="J431" s="68">
        <v>905</v>
      </c>
      <c r="K431" s="68">
        <v>0</v>
      </c>
      <c r="L431" s="68">
        <v>0</v>
      </c>
      <c r="M431" s="68">
        <v>0</v>
      </c>
      <c r="N431" s="68">
        <v>0</v>
      </c>
      <c r="O431" s="68">
        <v>0</v>
      </c>
      <c r="P431" s="68">
        <v>0</v>
      </c>
      <c r="Q431" s="68">
        <f>SUM(E431:P431)</f>
        <v>905</v>
      </c>
      <c r="R431" s="65"/>
    </row>
    <row r="432" spans="1:18" s="66" customFormat="1">
      <c r="A432" s="67">
        <v>431</v>
      </c>
      <c r="B432" s="78" t="s">
        <v>786</v>
      </c>
      <c r="C432" s="79" t="s">
        <v>787</v>
      </c>
      <c r="D432" s="79" t="s">
        <v>151</v>
      </c>
      <c r="E432" s="68">
        <v>0</v>
      </c>
      <c r="F432" s="68">
        <v>0</v>
      </c>
      <c r="G432" s="68">
        <v>0</v>
      </c>
      <c r="H432" s="68">
        <v>0</v>
      </c>
      <c r="I432" s="68">
        <v>0</v>
      </c>
      <c r="J432" s="68">
        <v>725</v>
      </c>
      <c r="K432" s="68">
        <v>4350</v>
      </c>
      <c r="L432" s="68">
        <v>0</v>
      </c>
      <c r="M432" s="68">
        <v>0</v>
      </c>
      <c r="N432" s="68">
        <v>10800</v>
      </c>
      <c r="O432" s="68">
        <v>0</v>
      </c>
      <c r="P432" s="68">
        <v>54100</v>
      </c>
      <c r="Q432" s="68">
        <f>SUM(E432:P432)</f>
        <v>69975</v>
      </c>
      <c r="R432" s="65"/>
    </row>
    <row r="433" spans="1:18" s="66" customFormat="1">
      <c r="A433" s="67">
        <v>432</v>
      </c>
      <c r="B433" s="78" t="s">
        <v>788</v>
      </c>
      <c r="C433" s="79" t="s">
        <v>789</v>
      </c>
      <c r="D433" s="79" t="s">
        <v>277</v>
      </c>
      <c r="E433" s="68">
        <v>0</v>
      </c>
      <c r="F433" s="68">
        <v>68450</v>
      </c>
      <c r="G433" s="68">
        <v>0</v>
      </c>
      <c r="H433" s="68">
        <v>45600</v>
      </c>
      <c r="I433" s="68">
        <v>0</v>
      </c>
      <c r="J433" s="68">
        <v>0</v>
      </c>
      <c r="K433" s="68">
        <v>0</v>
      </c>
      <c r="L433" s="68">
        <v>0</v>
      </c>
      <c r="M433" s="68">
        <v>0</v>
      </c>
      <c r="N433" s="68">
        <v>0</v>
      </c>
      <c r="O433" s="68">
        <v>0</v>
      </c>
      <c r="P433" s="68">
        <v>0</v>
      </c>
      <c r="Q433" s="68">
        <f>SUM(E433:P433)</f>
        <v>114050</v>
      </c>
      <c r="R433" s="65"/>
    </row>
    <row r="434" spans="1:18" s="66" customFormat="1">
      <c r="A434" s="67">
        <v>433</v>
      </c>
      <c r="B434" s="78" t="s">
        <v>790</v>
      </c>
      <c r="C434" s="79" t="s">
        <v>23</v>
      </c>
      <c r="D434" s="79" t="s">
        <v>30</v>
      </c>
      <c r="E434" s="68">
        <v>0</v>
      </c>
      <c r="F434" s="68">
        <v>0</v>
      </c>
      <c r="G434" s="68">
        <v>0</v>
      </c>
      <c r="H434" s="68">
        <v>0</v>
      </c>
      <c r="I434" s="68">
        <v>0</v>
      </c>
      <c r="J434" s="68">
        <v>0</v>
      </c>
      <c r="K434" s="68">
        <v>0</v>
      </c>
      <c r="L434" s="68">
        <v>0</v>
      </c>
      <c r="M434" s="68">
        <v>0</v>
      </c>
      <c r="N434" s="68">
        <v>0</v>
      </c>
      <c r="O434" s="68">
        <v>880</v>
      </c>
      <c r="P434" s="68">
        <v>0</v>
      </c>
      <c r="Q434" s="68">
        <f>SUM(E434:P434)</f>
        <v>880</v>
      </c>
      <c r="R434" s="65"/>
    </row>
    <row r="435" spans="1:18" s="66" customFormat="1">
      <c r="A435" s="67">
        <v>434</v>
      </c>
      <c r="B435" s="78" t="s">
        <v>791</v>
      </c>
      <c r="C435" s="79" t="s">
        <v>23</v>
      </c>
      <c r="D435" s="79" t="s">
        <v>30</v>
      </c>
      <c r="E435" s="68">
        <v>0</v>
      </c>
      <c r="F435" s="68">
        <v>0</v>
      </c>
      <c r="G435" s="68">
        <v>0</v>
      </c>
      <c r="H435" s="68">
        <v>0</v>
      </c>
      <c r="I435" s="68">
        <v>0</v>
      </c>
      <c r="J435" s="68">
        <v>15590</v>
      </c>
      <c r="K435" s="68">
        <v>0</v>
      </c>
      <c r="L435" s="68">
        <v>0</v>
      </c>
      <c r="M435" s="68">
        <v>0</v>
      </c>
      <c r="N435" s="68">
        <v>0</v>
      </c>
      <c r="O435" s="68">
        <v>0</v>
      </c>
      <c r="P435" s="68">
        <v>0</v>
      </c>
      <c r="Q435" s="68">
        <f>SUM(E435:P435)</f>
        <v>15590</v>
      </c>
      <c r="R435" s="65"/>
    </row>
    <row r="436" spans="1:18" s="66" customFormat="1">
      <c r="A436" s="67">
        <v>435</v>
      </c>
      <c r="B436" s="78" t="s">
        <v>792</v>
      </c>
      <c r="C436" s="79" t="s">
        <v>793</v>
      </c>
      <c r="D436" s="79" t="s">
        <v>28</v>
      </c>
      <c r="E436" s="68">
        <v>0</v>
      </c>
      <c r="F436" s="68">
        <v>11470</v>
      </c>
      <c r="G436" s="68">
        <v>0</v>
      </c>
      <c r="H436" s="68">
        <v>0</v>
      </c>
      <c r="I436" s="68">
        <v>7080</v>
      </c>
      <c r="J436" s="68">
        <v>0</v>
      </c>
      <c r="K436" s="68">
        <v>0</v>
      </c>
      <c r="L436" s="68">
        <v>0</v>
      </c>
      <c r="M436" s="68">
        <v>0</v>
      </c>
      <c r="N436" s="68">
        <v>0</v>
      </c>
      <c r="O436" s="68">
        <v>0</v>
      </c>
      <c r="P436" s="68">
        <v>0</v>
      </c>
      <c r="Q436" s="68">
        <f>SUM(E436:P436)</f>
        <v>18550</v>
      </c>
      <c r="R436" s="65"/>
    </row>
    <row r="437" spans="1:18" s="66" customFormat="1">
      <c r="A437" s="67">
        <v>436</v>
      </c>
      <c r="B437" s="78" t="s">
        <v>794</v>
      </c>
      <c r="C437" s="79" t="s">
        <v>23</v>
      </c>
      <c r="D437" s="79" t="s">
        <v>30</v>
      </c>
      <c r="E437" s="68">
        <v>0</v>
      </c>
      <c r="F437" s="68">
        <v>0</v>
      </c>
      <c r="G437" s="68">
        <v>0</v>
      </c>
      <c r="H437" s="68">
        <v>1062795</v>
      </c>
      <c r="I437" s="68">
        <v>0</v>
      </c>
      <c r="J437" s="68">
        <v>0</v>
      </c>
      <c r="K437" s="68">
        <v>0</v>
      </c>
      <c r="L437" s="68">
        <v>0</v>
      </c>
      <c r="M437" s="68">
        <v>0</v>
      </c>
      <c r="N437" s="68">
        <v>0</v>
      </c>
      <c r="O437" s="68">
        <v>0</v>
      </c>
      <c r="P437" s="68">
        <v>2011124.9</v>
      </c>
      <c r="Q437" s="68">
        <f>SUM(E437:P437)</f>
        <v>3073919.9</v>
      </c>
      <c r="R437" s="65"/>
    </row>
    <row r="438" spans="1:18" s="66" customFormat="1">
      <c r="A438" s="67">
        <v>437</v>
      </c>
      <c r="B438" s="78" t="s">
        <v>795</v>
      </c>
      <c r="C438" s="79" t="s">
        <v>23</v>
      </c>
      <c r="D438" s="79" t="s">
        <v>30</v>
      </c>
      <c r="E438" s="68">
        <v>0</v>
      </c>
      <c r="F438" s="68">
        <v>0</v>
      </c>
      <c r="G438" s="68">
        <v>0</v>
      </c>
      <c r="H438" s="68">
        <v>0</v>
      </c>
      <c r="I438" s="68">
        <v>0</v>
      </c>
      <c r="J438" s="68">
        <v>0</v>
      </c>
      <c r="K438" s="68">
        <v>0</v>
      </c>
      <c r="L438" s="68">
        <v>0</v>
      </c>
      <c r="M438" s="68">
        <v>0</v>
      </c>
      <c r="N438" s="68">
        <v>0</v>
      </c>
      <c r="O438" s="68">
        <v>8820</v>
      </c>
      <c r="P438" s="68">
        <v>0</v>
      </c>
      <c r="Q438" s="68">
        <f>SUM(E438:P438)</f>
        <v>8820</v>
      </c>
      <c r="R438" s="65"/>
    </row>
    <row r="439" spans="1:18" s="66" customFormat="1">
      <c r="A439" s="67">
        <v>438</v>
      </c>
      <c r="B439" s="78" t="s">
        <v>796</v>
      </c>
      <c r="C439" s="79" t="s">
        <v>797</v>
      </c>
      <c r="D439" s="79" t="s">
        <v>342</v>
      </c>
      <c r="E439" s="68">
        <v>34500</v>
      </c>
      <c r="F439" s="68">
        <v>1875</v>
      </c>
      <c r="G439" s="68">
        <v>0</v>
      </c>
      <c r="H439" s="68">
        <v>0</v>
      </c>
      <c r="I439" s="68">
        <v>0</v>
      </c>
      <c r="J439" s="68">
        <v>0</v>
      </c>
      <c r="K439" s="68">
        <v>0</v>
      </c>
      <c r="L439" s="68">
        <v>0</v>
      </c>
      <c r="M439" s="68">
        <v>0</v>
      </c>
      <c r="N439" s="68">
        <v>0</v>
      </c>
      <c r="O439" s="68">
        <v>0</v>
      </c>
      <c r="P439" s="68">
        <v>0</v>
      </c>
      <c r="Q439" s="68">
        <f>SUM(E439:P439)</f>
        <v>36375</v>
      </c>
      <c r="R439" s="65"/>
    </row>
    <row r="440" spans="1:18" s="66" customFormat="1">
      <c r="A440" s="67">
        <v>439</v>
      </c>
      <c r="B440" s="78" t="s">
        <v>798</v>
      </c>
      <c r="C440" s="79" t="s">
        <v>799</v>
      </c>
      <c r="D440" s="79" t="s">
        <v>90</v>
      </c>
      <c r="E440" s="68">
        <v>0</v>
      </c>
      <c r="F440" s="68">
        <v>65400</v>
      </c>
      <c r="G440" s="68">
        <v>0</v>
      </c>
      <c r="H440" s="68">
        <v>0</v>
      </c>
      <c r="I440" s="68">
        <v>33600</v>
      </c>
      <c r="J440" s="68">
        <v>0</v>
      </c>
      <c r="K440" s="68">
        <v>0</v>
      </c>
      <c r="L440" s="68">
        <v>0</v>
      </c>
      <c r="M440" s="68">
        <v>52000</v>
      </c>
      <c r="N440" s="68">
        <v>0</v>
      </c>
      <c r="O440" s="68">
        <v>66000</v>
      </c>
      <c r="P440" s="68">
        <v>116400</v>
      </c>
      <c r="Q440" s="68">
        <f>SUM(E440:P440)</f>
        <v>333400</v>
      </c>
      <c r="R440" s="65"/>
    </row>
    <row r="441" spans="1:18" s="66" customFormat="1">
      <c r="A441" s="67">
        <v>440</v>
      </c>
      <c r="B441" s="78" t="s">
        <v>800</v>
      </c>
      <c r="C441" s="79" t="s">
        <v>801</v>
      </c>
      <c r="D441" s="79" t="s">
        <v>277</v>
      </c>
      <c r="E441" s="68">
        <v>73248</v>
      </c>
      <c r="F441" s="68">
        <v>17700</v>
      </c>
      <c r="G441" s="68">
        <v>0</v>
      </c>
      <c r="H441" s="68">
        <v>66000</v>
      </c>
      <c r="I441" s="68">
        <v>0</v>
      </c>
      <c r="J441" s="68">
        <v>99500</v>
      </c>
      <c r="K441" s="68">
        <v>0</v>
      </c>
      <c r="L441" s="68">
        <v>70000</v>
      </c>
      <c r="M441" s="68">
        <v>137100</v>
      </c>
      <c r="N441" s="68">
        <v>0</v>
      </c>
      <c r="O441" s="68">
        <v>0</v>
      </c>
      <c r="P441" s="68">
        <v>39000</v>
      </c>
      <c r="Q441" s="68">
        <f>SUM(E441:P441)</f>
        <v>502548</v>
      </c>
      <c r="R441" s="65"/>
    </row>
    <row r="442" spans="1:18" s="66" customFormat="1">
      <c r="A442" s="67">
        <v>441</v>
      </c>
      <c r="B442" s="78" t="s">
        <v>802</v>
      </c>
      <c r="C442" s="79" t="s">
        <v>803</v>
      </c>
      <c r="D442" s="79" t="s">
        <v>177</v>
      </c>
      <c r="E442" s="68">
        <v>0</v>
      </c>
      <c r="F442" s="68">
        <v>0</v>
      </c>
      <c r="G442" s="68">
        <v>0</v>
      </c>
      <c r="H442" s="68">
        <v>20500</v>
      </c>
      <c r="I442" s="68">
        <v>0</v>
      </c>
      <c r="J442" s="68">
        <v>0</v>
      </c>
      <c r="K442" s="68">
        <v>0</v>
      </c>
      <c r="L442" s="68">
        <v>0</v>
      </c>
      <c r="M442" s="68">
        <v>0</v>
      </c>
      <c r="N442" s="68">
        <v>0</v>
      </c>
      <c r="O442" s="68">
        <v>0</v>
      </c>
      <c r="P442" s="68">
        <v>0</v>
      </c>
      <c r="Q442" s="68">
        <f>SUM(E442:P442)</f>
        <v>20500</v>
      </c>
      <c r="R442" s="65"/>
    </row>
    <row r="443" spans="1:18" s="66" customFormat="1">
      <c r="A443" s="67">
        <v>442</v>
      </c>
      <c r="B443" s="78" t="s">
        <v>804</v>
      </c>
      <c r="C443" s="79" t="s">
        <v>805</v>
      </c>
      <c r="D443" s="79" t="s">
        <v>19</v>
      </c>
      <c r="E443" s="68">
        <v>0</v>
      </c>
      <c r="F443" s="68">
        <v>0</v>
      </c>
      <c r="G443" s="68">
        <v>0</v>
      </c>
      <c r="H443" s="68">
        <v>2280</v>
      </c>
      <c r="I443" s="68">
        <v>0</v>
      </c>
      <c r="J443" s="68">
        <v>0</v>
      </c>
      <c r="K443" s="68">
        <v>0</v>
      </c>
      <c r="L443" s="68">
        <v>0</v>
      </c>
      <c r="M443" s="68">
        <v>0</v>
      </c>
      <c r="N443" s="68">
        <v>0</v>
      </c>
      <c r="O443" s="68">
        <v>0</v>
      </c>
      <c r="P443" s="68">
        <v>0</v>
      </c>
      <c r="Q443" s="68">
        <f>SUM(E443:P443)</f>
        <v>2280</v>
      </c>
      <c r="R443" s="65"/>
    </row>
    <row r="444" spans="1:18" s="66" customFormat="1">
      <c r="A444" s="67">
        <v>443</v>
      </c>
      <c r="B444" s="78" t="s">
        <v>806</v>
      </c>
      <c r="C444" s="79" t="s">
        <v>807</v>
      </c>
      <c r="D444" s="79" t="s">
        <v>69</v>
      </c>
      <c r="E444" s="68">
        <v>0</v>
      </c>
      <c r="F444" s="68">
        <v>0</v>
      </c>
      <c r="G444" s="68">
        <v>0</v>
      </c>
      <c r="H444" s="68">
        <v>0</v>
      </c>
      <c r="I444" s="68">
        <v>0</v>
      </c>
      <c r="J444" s="68">
        <v>0</v>
      </c>
      <c r="K444" s="68">
        <v>0</v>
      </c>
      <c r="L444" s="68">
        <v>0</v>
      </c>
      <c r="M444" s="68">
        <v>0</v>
      </c>
      <c r="N444" s="68">
        <v>46770</v>
      </c>
      <c r="O444" s="68">
        <v>0</v>
      </c>
      <c r="P444" s="68">
        <v>0</v>
      </c>
      <c r="Q444" s="68">
        <f>SUM(E444:P444)</f>
        <v>46770</v>
      </c>
      <c r="R444" s="65"/>
    </row>
    <row r="445" spans="1:18" s="66" customFormat="1">
      <c r="A445" s="67">
        <v>444</v>
      </c>
      <c r="B445" s="78" t="s">
        <v>808</v>
      </c>
      <c r="C445" s="79" t="s">
        <v>809</v>
      </c>
      <c r="D445" s="79" t="s">
        <v>90</v>
      </c>
      <c r="E445" s="68">
        <v>0</v>
      </c>
      <c r="F445" s="68">
        <v>0</v>
      </c>
      <c r="G445" s="68">
        <v>0</v>
      </c>
      <c r="H445" s="68">
        <v>0</v>
      </c>
      <c r="I445" s="68">
        <v>0</v>
      </c>
      <c r="J445" s="68">
        <v>2300</v>
      </c>
      <c r="K445" s="68">
        <v>0</v>
      </c>
      <c r="L445" s="68">
        <v>0</v>
      </c>
      <c r="M445" s="68">
        <v>0</v>
      </c>
      <c r="N445" s="68">
        <v>0</v>
      </c>
      <c r="O445" s="68">
        <v>0</v>
      </c>
      <c r="P445" s="68">
        <v>0</v>
      </c>
      <c r="Q445" s="68">
        <f>SUM(E445:P445)</f>
        <v>2300</v>
      </c>
      <c r="R445" s="65"/>
    </row>
    <row r="446" spans="1:18" s="66" customFormat="1">
      <c r="A446" s="67">
        <v>445</v>
      </c>
      <c r="B446" s="78" t="s">
        <v>810</v>
      </c>
      <c r="C446" s="79" t="s">
        <v>23</v>
      </c>
      <c r="D446" s="79" t="s">
        <v>30</v>
      </c>
      <c r="E446" s="68">
        <v>0</v>
      </c>
      <c r="F446" s="68">
        <v>0</v>
      </c>
      <c r="G446" s="68">
        <v>0</v>
      </c>
      <c r="H446" s="68">
        <v>0</v>
      </c>
      <c r="I446" s="68">
        <v>0</v>
      </c>
      <c r="J446" s="68">
        <v>915</v>
      </c>
      <c r="K446" s="68">
        <v>0</v>
      </c>
      <c r="L446" s="68">
        <v>0</v>
      </c>
      <c r="M446" s="68">
        <v>0</v>
      </c>
      <c r="N446" s="68">
        <v>0</v>
      </c>
      <c r="O446" s="68">
        <v>0</v>
      </c>
      <c r="P446" s="68">
        <v>0</v>
      </c>
      <c r="Q446" s="68">
        <f>SUM(E446:P446)</f>
        <v>915</v>
      </c>
      <c r="R446" s="65"/>
    </row>
    <row r="447" spans="1:18" s="66" customFormat="1">
      <c r="A447" s="67">
        <v>446</v>
      </c>
      <c r="B447" s="78" t="s">
        <v>811</v>
      </c>
      <c r="C447" s="79" t="s">
        <v>812</v>
      </c>
      <c r="D447" s="79" t="s">
        <v>177</v>
      </c>
      <c r="E447" s="68">
        <v>0</v>
      </c>
      <c r="F447" s="68">
        <v>0</v>
      </c>
      <c r="G447" s="68">
        <v>0</v>
      </c>
      <c r="H447" s="68">
        <v>0</v>
      </c>
      <c r="I447" s="68">
        <v>0</v>
      </c>
      <c r="J447" s="68">
        <v>0</v>
      </c>
      <c r="K447" s="68">
        <v>0</v>
      </c>
      <c r="L447" s="68">
        <v>7122.5</v>
      </c>
      <c r="M447" s="68">
        <v>0</v>
      </c>
      <c r="N447" s="68">
        <v>0</v>
      </c>
      <c r="O447" s="68">
        <v>0</v>
      </c>
      <c r="P447" s="68">
        <v>0</v>
      </c>
      <c r="Q447" s="68">
        <f>SUM(E447:P447)</f>
        <v>7122.5</v>
      </c>
      <c r="R447" s="65"/>
    </row>
    <row r="448" spans="1:18" s="66" customFormat="1">
      <c r="A448" s="67">
        <v>447</v>
      </c>
      <c r="B448" s="78" t="s">
        <v>813</v>
      </c>
      <c r="C448" s="79" t="s">
        <v>814</v>
      </c>
      <c r="D448" s="79" t="s">
        <v>122</v>
      </c>
      <c r="E448" s="68">
        <v>0</v>
      </c>
      <c r="F448" s="68">
        <v>0</v>
      </c>
      <c r="G448" s="68">
        <v>0</v>
      </c>
      <c r="H448" s="68">
        <v>0</v>
      </c>
      <c r="I448" s="68">
        <v>0</v>
      </c>
      <c r="J448" s="68">
        <v>0</v>
      </c>
      <c r="K448" s="68">
        <v>0</v>
      </c>
      <c r="L448" s="68">
        <v>0</v>
      </c>
      <c r="M448" s="68">
        <v>0</v>
      </c>
      <c r="N448" s="68">
        <v>66000</v>
      </c>
      <c r="O448" s="68">
        <v>248000</v>
      </c>
      <c r="P448" s="68">
        <v>0</v>
      </c>
      <c r="Q448" s="68">
        <f>SUM(E448:P448)</f>
        <v>314000</v>
      </c>
      <c r="R448" s="65"/>
    </row>
    <row r="449" spans="1:18" s="66" customFormat="1">
      <c r="A449" s="67">
        <v>448</v>
      </c>
      <c r="B449" s="78" t="s">
        <v>815</v>
      </c>
      <c r="C449" s="79" t="s">
        <v>816</v>
      </c>
      <c r="D449" s="79" t="s">
        <v>19</v>
      </c>
      <c r="E449" s="68">
        <v>0</v>
      </c>
      <c r="F449" s="68">
        <v>0</v>
      </c>
      <c r="G449" s="68">
        <v>0</v>
      </c>
      <c r="H449" s="68">
        <v>0</v>
      </c>
      <c r="I449" s="68">
        <v>0</v>
      </c>
      <c r="J449" s="68">
        <v>0</v>
      </c>
      <c r="K449" s="68">
        <v>0</v>
      </c>
      <c r="L449" s="68">
        <v>0</v>
      </c>
      <c r="M449" s="68">
        <v>0</v>
      </c>
      <c r="N449" s="68">
        <v>4020</v>
      </c>
      <c r="O449" s="68">
        <v>0</v>
      </c>
      <c r="P449" s="68">
        <v>0</v>
      </c>
      <c r="Q449" s="68">
        <f>SUM(E449:P449)</f>
        <v>4020</v>
      </c>
      <c r="R449" s="65"/>
    </row>
    <row r="450" spans="1:18" s="66" customFormat="1">
      <c r="A450" s="67">
        <v>449</v>
      </c>
      <c r="B450" s="78" t="s">
        <v>817</v>
      </c>
      <c r="C450" s="79" t="s">
        <v>818</v>
      </c>
      <c r="D450" s="79" t="s">
        <v>104</v>
      </c>
      <c r="E450" s="68">
        <v>0</v>
      </c>
      <c r="F450" s="68">
        <v>0</v>
      </c>
      <c r="G450" s="68">
        <v>39630</v>
      </c>
      <c r="H450" s="68">
        <v>0</v>
      </c>
      <c r="I450" s="68">
        <v>0</v>
      </c>
      <c r="J450" s="68">
        <v>0</v>
      </c>
      <c r="K450" s="68">
        <v>0</v>
      </c>
      <c r="L450" s="68">
        <v>0</v>
      </c>
      <c r="M450" s="68">
        <v>0</v>
      </c>
      <c r="N450" s="68">
        <v>0</v>
      </c>
      <c r="O450" s="68">
        <v>0</v>
      </c>
      <c r="P450" s="68">
        <v>0</v>
      </c>
      <c r="Q450" s="68">
        <f>SUM(E450:P450)</f>
        <v>39630</v>
      </c>
      <c r="R450" s="65"/>
    </row>
    <row r="451" spans="1:18" s="66" customFormat="1">
      <c r="A451" s="67">
        <v>450</v>
      </c>
      <c r="B451" s="78" t="s">
        <v>819</v>
      </c>
      <c r="C451" s="79" t="s">
        <v>820</v>
      </c>
      <c r="D451" s="79" t="s">
        <v>90</v>
      </c>
      <c r="E451" s="68">
        <v>0</v>
      </c>
      <c r="F451" s="68">
        <v>0</v>
      </c>
      <c r="G451" s="68">
        <v>0</v>
      </c>
      <c r="H451" s="68">
        <v>13680</v>
      </c>
      <c r="I451" s="68">
        <v>0</v>
      </c>
      <c r="J451" s="68">
        <v>0</v>
      </c>
      <c r="K451" s="68">
        <v>0</v>
      </c>
      <c r="L451" s="68">
        <v>0</v>
      </c>
      <c r="M451" s="68">
        <v>0</v>
      </c>
      <c r="N451" s="68">
        <v>0</v>
      </c>
      <c r="O451" s="68">
        <v>0</v>
      </c>
      <c r="P451" s="68">
        <v>0</v>
      </c>
      <c r="Q451" s="68">
        <f>SUM(E451:P451)</f>
        <v>13680</v>
      </c>
      <c r="R451" s="65"/>
    </row>
    <row r="452" spans="1:18" s="66" customFormat="1">
      <c r="A452" s="67">
        <v>451</v>
      </c>
      <c r="B452" s="78" t="s">
        <v>821</v>
      </c>
      <c r="C452" s="79" t="s">
        <v>822</v>
      </c>
      <c r="D452" s="79" t="s">
        <v>177</v>
      </c>
      <c r="E452" s="68">
        <v>0</v>
      </c>
      <c r="F452" s="68">
        <v>0</v>
      </c>
      <c r="G452" s="68">
        <v>0</v>
      </c>
      <c r="H452" s="68">
        <v>0</v>
      </c>
      <c r="I452" s="68">
        <v>0</v>
      </c>
      <c r="J452" s="68">
        <v>31382</v>
      </c>
      <c r="K452" s="68">
        <v>0</v>
      </c>
      <c r="L452" s="68">
        <v>0</v>
      </c>
      <c r="M452" s="68">
        <v>34758</v>
      </c>
      <c r="N452" s="68">
        <v>0</v>
      </c>
      <c r="O452" s="68">
        <v>0</v>
      </c>
      <c r="P452" s="68">
        <v>0</v>
      </c>
      <c r="Q452" s="68">
        <f>SUM(E452:P452)</f>
        <v>66140</v>
      </c>
      <c r="R452" s="65"/>
    </row>
    <row r="453" spans="1:18" s="66" customFormat="1">
      <c r="A453" s="67">
        <v>452</v>
      </c>
      <c r="B453" s="78" t="s">
        <v>823</v>
      </c>
      <c r="C453" s="79" t="s">
        <v>824</v>
      </c>
      <c r="D453" s="79" t="s">
        <v>19</v>
      </c>
      <c r="E453" s="68">
        <v>14929</v>
      </c>
      <c r="F453" s="68">
        <v>13025</v>
      </c>
      <c r="G453" s="68">
        <v>12442.5</v>
      </c>
      <c r="H453" s="68">
        <v>5675</v>
      </c>
      <c r="I453" s="68">
        <v>22215</v>
      </c>
      <c r="J453" s="68">
        <v>15144</v>
      </c>
      <c r="K453" s="68">
        <v>17005</v>
      </c>
      <c r="L453" s="68">
        <v>9705</v>
      </c>
      <c r="M453" s="68">
        <v>5694</v>
      </c>
      <c r="N453" s="68">
        <v>7420</v>
      </c>
      <c r="O453" s="68">
        <v>2200</v>
      </c>
      <c r="P453" s="68">
        <v>0</v>
      </c>
      <c r="Q453" s="68">
        <f>SUM(E453:P453)</f>
        <v>125454.5</v>
      </c>
      <c r="R453" s="65"/>
    </row>
    <row r="454" spans="1:18" s="66" customFormat="1">
      <c r="A454" s="67">
        <v>453</v>
      </c>
      <c r="B454" s="78" t="s">
        <v>825</v>
      </c>
      <c r="C454" s="79" t="s">
        <v>826</v>
      </c>
      <c r="D454" s="79" t="s">
        <v>177</v>
      </c>
      <c r="E454" s="68">
        <v>0</v>
      </c>
      <c r="F454" s="68">
        <v>54000</v>
      </c>
      <c r="G454" s="68">
        <v>54000</v>
      </c>
      <c r="H454" s="68">
        <v>0</v>
      </c>
      <c r="I454" s="68">
        <v>0</v>
      </c>
      <c r="J454" s="68">
        <v>0</v>
      </c>
      <c r="K454" s="68">
        <v>0</v>
      </c>
      <c r="L454" s="68">
        <v>0</v>
      </c>
      <c r="M454" s="68">
        <v>0</v>
      </c>
      <c r="N454" s="68">
        <v>0</v>
      </c>
      <c r="O454" s="68">
        <v>0</v>
      </c>
      <c r="P454" s="68">
        <v>0</v>
      </c>
      <c r="Q454" s="68">
        <f>SUM(E454:P454)</f>
        <v>108000</v>
      </c>
      <c r="R454" s="65"/>
    </row>
    <row r="455" spans="1:18" s="66" customFormat="1" ht="30.75">
      <c r="A455" s="67">
        <v>454</v>
      </c>
      <c r="B455" s="78" t="s">
        <v>827</v>
      </c>
      <c r="C455" s="79" t="s">
        <v>828</v>
      </c>
      <c r="D455" s="79" t="s">
        <v>104</v>
      </c>
      <c r="E455" s="68">
        <v>0</v>
      </c>
      <c r="F455" s="68">
        <v>0</v>
      </c>
      <c r="G455" s="68">
        <v>0</v>
      </c>
      <c r="H455" s="68">
        <v>0</v>
      </c>
      <c r="I455" s="68">
        <v>0</v>
      </c>
      <c r="J455" s="68">
        <v>0</v>
      </c>
      <c r="K455" s="68">
        <v>0</v>
      </c>
      <c r="L455" s="68">
        <v>0</v>
      </c>
      <c r="M455" s="68">
        <v>0</v>
      </c>
      <c r="N455" s="68">
        <v>82500</v>
      </c>
      <c r="O455" s="68">
        <v>0</v>
      </c>
      <c r="P455" s="68">
        <v>0</v>
      </c>
      <c r="Q455" s="68">
        <f>SUM(E455:P455)</f>
        <v>82500</v>
      </c>
      <c r="R455" s="65"/>
    </row>
    <row r="456" spans="1:18" s="66" customFormat="1">
      <c r="A456" s="67">
        <v>455</v>
      </c>
      <c r="B456" s="78" t="s">
        <v>829</v>
      </c>
      <c r="C456" s="79" t="s">
        <v>830</v>
      </c>
      <c r="D456" s="79" t="s">
        <v>212</v>
      </c>
      <c r="E456" s="68">
        <v>0</v>
      </c>
      <c r="F456" s="68">
        <v>0</v>
      </c>
      <c r="G456" s="68">
        <v>0</v>
      </c>
      <c r="H456" s="68">
        <v>0</v>
      </c>
      <c r="I456" s="68">
        <v>0</v>
      </c>
      <c r="J456" s="68">
        <v>0</v>
      </c>
      <c r="K456" s="68">
        <v>0</v>
      </c>
      <c r="L456" s="68">
        <v>284250</v>
      </c>
      <c r="M456" s="68">
        <v>210000</v>
      </c>
      <c r="N456" s="68">
        <v>0</v>
      </c>
      <c r="O456" s="68">
        <v>0</v>
      </c>
      <c r="P456" s="68">
        <v>0</v>
      </c>
      <c r="Q456" s="68">
        <f>SUM(E456:P456)</f>
        <v>494250</v>
      </c>
      <c r="R456" s="65"/>
    </row>
    <row r="457" spans="1:18" s="66" customFormat="1">
      <c r="A457" s="67">
        <v>456</v>
      </c>
      <c r="B457" s="78" t="s">
        <v>831</v>
      </c>
      <c r="C457" s="79" t="s">
        <v>832</v>
      </c>
      <c r="D457" s="79" t="s">
        <v>19</v>
      </c>
      <c r="E457" s="68">
        <v>0</v>
      </c>
      <c r="F457" s="68">
        <v>0</v>
      </c>
      <c r="G457" s="68">
        <v>0</v>
      </c>
      <c r="H457" s="68">
        <v>0</v>
      </c>
      <c r="I457" s="68">
        <v>0</v>
      </c>
      <c r="J457" s="68">
        <v>0</v>
      </c>
      <c r="K457" s="68">
        <v>0</v>
      </c>
      <c r="L457" s="68">
        <v>0</v>
      </c>
      <c r="M457" s="68">
        <v>2100</v>
      </c>
      <c r="N457" s="68">
        <v>0</v>
      </c>
      <c r="O457" s="68">
        <v>0</v>
      </c>
      <c r="P457" s="68">
        <v>0</v>
      </c>
      <c r="Q457" s="68">
        <f>SUM(E457:P457)</f>
        <v>2100</v>
      </c>
      <c r="R457" s="65"/>
    </row>
    <row r="458" spans="1:18" s="66" customFormat="1">
      <c r="A458" s="67">
        <v>457</v>
      </c>
      <c r="B458" s="78" t="s">
        <v>833</v>
      </c>
      <c r="C458" s="79" t="s">
        <v>834</v>
      </c>
      <c r="D458" s="79" t="s">
        <v>835</v>
      </c>
      <c r="E458" s="68">
        <v>0</v>
      </c>
      <c r="F458" s="68">
        <v>0</v>
      </c>
      <c r="G458" s="68">
        <v>0</v>
      </c>
      <c r="H458" s="68">
        <v>0</v>
      </c>
      <c r="I458" s="68">
        <v>0</v>
      </c>
      <c r="J458" s="68">
        <v>12600</v>
      </c>
      <c r="K458" s="68">
        <v>0</v>
      </c>
      <c r="L458" s="68">
        <v>0</v>
      </c>
      <c r="M458" s="68">
        <v>0</v>
      </c>
      <c r="N458" s="68">
        <v>0</v>
      </c>
      <c r="O458" s="68">
        <v>0</v>
      </c>
      <c r="P458" s="68">
        <v>0</v>
      </c>
      <c r="Q458" s="68">
        <f>SUM(E458:P458)</f>
        <v>12600</v>
      </c>
      <c r="R458" s="65"/>
    </row>
    <row r="459" spans="1:18" s="66" customFormat="1">
      <c r="A459" s="67">
        <v>458</v>
      </c>
      <c r="B459" s="78" t="s">
        <v>836</v>
      </c>
      <c r="C459" s="79" t="s">
        <v>837</v>
      </c>
      <c r="D459" s="79" t="s">
        <v>287</v>
      </c>
      <c r="E459" s="68">
        <v>0</v>
      </c>
      <c r="F459" s="68">
        <v>0</v>
      </c>
      <c r="G459" s="68">
        <v>0</v>
      </c>
      <c r="H459" s="68">
        <v>10975</v>
      </c>
      <c r="I459" s="68">
        <v>0</v>
      </c>
      <c r="J459" s="68">
        <v>0</v>
      </c>
      <c r="K459" s="68">
        <v>0</v>
      </c>
      <c r="L459" s="68">
        <v>0</v>
      </c>
      <c r="M459" s="68">
        <v>0</v>
      </c>
      <c r="N459" s="68">
        <v>0</v>
      </c>
      <c r="O459" s="68">
        <v>0</v>
      </c>
      <c r="P459" s="68">
        <v>0</v>
      </c>
      <c r="Q459" s="68">
        <f>SUM(E459:P459)</f>
        <v>10975</v>
      </c>
      <c r="R459" s="65"/>
    </row>
    <row r="460" spans="1:18" s="66" customFormat="1">
      <c r="A460" s="67">
        <v>459</v>
      </c>
      <c r="B460" s="78" t="s">
        <v>838</v>
      </c>
      <c r="C460" s="79" t="s">
        <v>839</v>
      </c>
      <c r="D460" s="79" t="s">
        <v>90</v>
      </c>
      <c r="E460" s="68">
        <v>0</v>
      </c>
      <c r="F460" s="68">
        <v>24250</v>
      </c>
      <c r="G460" s="68">
        <v>11654</v>
      </c>
      <c r="H460" s="68">
        <v>3870</v>
      </c>
      <c r="I460" s="68">
        <v>0</v>
      </c>
      <c r="J460" s="68">
        <v>0</v>
      </c>
      <c r="K460" s="68">
        <v>6240</v>
      </c>
      <c r="L460" s="68">
        <v>17527.5</v>
      </c>
      <c r="M460" s="68">
        <v>7530</v>
      </c>
      <c r="N460" s="68">
        <v>0</v>
      </c>
      <c r="O460" s="68">
        <v>40870</v>
      </c>
      <c r="P460" s="68">
        <v>0</v>
      </c>
      <c r="Q460" s="68">
        <f>SUM(E460:P460)</f>
        <v>111941.5</v>
      </c>
      <c r="R460" s="65"/>
    </row>
    <row r="461" spans="1:18" s="66" customFormat="1">
      <c r="A461" s="67">
        <v>460</v>
      </c>
      <c r="B461" s="78" t="s">
        <v>840</v>
      </c>
      <c r="C461" s="79" t="s">
        <v>23</v>
      </c>
      <c r="D461" s="79" t="s">
        <v>30</v>
      </c>
      <c r="E461" s="68">
        <v>0</v>
      </c>
      <c r="F461" s="68">
        <v>0</v>
      </c>
      <c r="G461" s="68">
        <v>0</v>
      </c>
      <c r="H461" s="68">
        <v>0</v>
      </c>
      <c r="I461" s="68">
        <v>0</v>
      </c>
      <c r="J461" s="68">
        <v>0</v>
      </c>
      <c r="K461" s="68">
        <v>2800</v>
      </c>
      <c r="L461" s="68">
        <v>0</v>
      </c>
      <c r="M461" s="68">
        <v>0</v>
      </c>
      <c r="N461" s="68">
        <v>0</v>
      </c>
      <c r="O461" s="68">
        <v>0</v>
      </c>
      <c r="P461" s="68">
        <v>0</v>
      </c>
      <c r="Q461" s="68">
        <f>SUM(E461:P461)</f>
        <v>2800</v>
      </c>
      <c r="R461" s="65"/>
    </row>
    <row r="462" spans="1:18" s="66" customFormat="1">
      <c r="A462" s="67">
        <v>461</v>
      </c>
      <c r="B462" s="78" t="s">
        <v>841</v>
      </c>
      <c r="C462" s="79" t="s">
        <v>842</v>
      </c>
      <c r="D462" s="79" t="s">
        <v>90</v>
      </c>
      <c r="E462" s="68">
        <v>0</v>
      </c>
      <c r="F462" s="68">
        <v>0</v>
      </c>
      <c r="G462" s="68">
        <v>0</v>
      </c>
      <c r="H462" s="68">
        <v>0</v>
      </c>
      <c r="I462" s="68">
        <v>0</v>
      </c>
      <c r="J462" s="68">
        <v>0</v>
      </c>
      <c r="K462" s="68">
        <v>0</v>
      </c>
      <c r="L462" s="68">
        <v>0</v>
      </c>
      <c r="M462" s="68">
        <v>0</v>
      </c>
      <c r="N462" s="68">
        <v>1520</v>
      </c>
      <c r="O462" s="68">
        <v>0</v>
      </c>
      <c r="P462" s="68">
        <v>2370</v>
      </c>
      <c r="Q462" s="68">
        <f>SUM(E462:P462)</f>
        <v>3890</v>
      </c>
      <c r="R462" s="65"/>
    </row>
    <row r="463" spans="1:18" s="66" customFormat="1">
      <c r="A463" s="67">
        <v>462</v>
      </c>
      <c r="B463" s="78" t="s">
        <v>843</v>
      </c>
      <c r="C463" s="79" t="s">
        <v>844</v>
      </c>
      <c r="D463" s="79" t="s">
        <v>22</v>
      </c>
      <c r="E463" s="68">
        <v>0</v>
      </c>
      <c r="F463" s="68">
        <v>0</v>
      </c>
      <c r="G463" s="68">
        <v>0</v>
      </c>
      <c r="H463" s="68">
        <v>0</v>
      </c>
      <c r="I463" s="68">
        <v>0</v>
      </c>
      <c r="J463" s="68">
        <v>0</v>
      </c>
      <c r="K463" s="68">
        <v>0</v>
      </c>
      <c r="L463" s="68">
        <v>6800</v>
      </c>
      <c r="M463" s="68">
        <v>6800</v>
      </c>
      <c r="N463" s="68">
        <v>0</v>
      </c>
      <c r="O463" s="68">
        <v>0</v>
      </c>
      <c r="P463" s="68">
        <v>0</v>
      </c>
      <c r="Q463" s="68">
        <f>SUM(E463:P463)</f>
        <v>13600</v>
      </c>
      <c r="R463" s="65"/>
    </row>
    <row r="464" spans="1:18" s="66" customFormat="1">
      <c r="A464" s="67">
        <v>463</v>
      </c>
      <c r="B464" s="78" t="s">
        <v>845</v>
      </c>
      <c r="C464" s="79" t="s">
        <v>846</v>
      </c>
      <c r="D464" s="79" t="s">
        <v>177</v>
      </c>
      <c r="E464" s="68">
        <v>19942</v>
      </c>
      <c r="F464" s="68">
        <v>21820</v>
      </c>
      <c r="G464" s="68">
        <v>18130</v>
      </c>
      <c r="H464" s="68">
        <v>0</v>
      </c>
      <c r="I464" s="68">
        <v>16210</v>
      </c>
      <c r="J464" s="68">
        <v>20370</v>
      </c>
      <c r="K464" s="68">
        <v>21515</v>
      </c>
      <c r="L464" s="68">
        <v>0</v>
      </c>
      <c r="M464" s="68">
        <v>19590</v>
      </c>
      <c r="N464" s="68">
        <v>19675</v>
      </c>
      <c r="O464" s="68">
        <v>18030</v>
      </c>
      <c r="P464" s="68">
        <v>0</v>
      </c>
      <c r="Q464" s="68">
        <f>SUM(E464:P464)</f>
        <v>175282</v>
      </c>
      <c r="R464" s="65"/>
    </row>
    <row r="465" spans="1:18" s="66" customFormat="1">
      <c r="A465" s="67">
        <v>464</v>
      </c>
      <c r="B465" s="78" t="s">
        <v>847</v>
      </c>
      <c r="C465" s="79" t="s">
        <v>848</v>
      </c>
      <c r="D465" s="79" t="s">
        <v>19</v>
      </c>
      <c r="E465" s="68">
        <v>0</v>
      </c>
      <c r="F465" s="68">
        <v>3600</v>
      </c>
      <c r="G465" s="68">
        <v>16320</v>
      </c>
      <c r="H465" s="68">
        <v>32640</v>
      </c>
      <c r="I465" s="68">
        <v>7905</v>
      </c>
      <c r="J465" s="68">
        <v>0</v>
      </c>
      <c r="K465" s="68">
        <v>0</v>
      </c>
      <c r="L465" s="68">
        <v>0</v>
      </c>
      <c r="M465" s="68">
        <v>0</v>
      </c>
      <c r="N465" s="68">
        <v>0</v>
      </c>
      <c r="O465" s="68">
        <v>0</v>
      </c>
      <c r="P465" s="68">
        <v>0</v>
      </c>
      <c r="Q465" s="68">
        <f>SUM(E465:P465)</f>
        <v>60465</v>
      </c>
      <c r="R465" s="65"/>
    </row>
    <row r="466" spans="1:18" s="66" customFormat="1">
      <c r="A466" s="67">
        <v>465</v>
      </c>
      <c r="B466" s="78" t="s">
        <v>849</v>
      </c>
      <c r="C466" s="79" t="s">
        <v>850</v>
      </c>
      <c r="D466" s="79" t="s">
        <v>257</v>
      </c>
      <c r="E466" s="68">
        <v>0</v>
      </c>
      <c r="F466" s="68">
        <v>0</v>
      </c>
      <c r="G466" s="68">
        <v>0</v>
      </c>
      <c r="H466" s="68">
        <v>0</v>
      </c>
      <c r="I466" s="68">
        <v>0</v>
      </c>
      <c r="J466" s="68">
        <v>0</v>
      </c>
      <c r="K466" s="68">
        <v>0</v>
      </c>
      <c r="L466" s="68">
        <v>0</v>
      </c>
      <c r="M466" s="68">
        <v>3600</v>
      </c>
      <c r="N466" s="68">
        <v>0</v>
      </c>
      <c r="O466" s="68">
        <v>7200</v>
      </c>
      <c r="P466" s="68">
        <v>0</v>
      </c>
      <c r="Q466" s="68">
        <f>SUM(E466:P466)</f>
        <v>10800</v>
      </c>
      <c r="R466" s="65"/>
    </row>
    <row r="467" spans="1:18" s="66" customFormat="1">
      <c r="A467" s="67">
        <v>466</v>
      </c>
      <c r="B467" s="78" t="s">
        <v>851</v>
      </c>
      <c r="C467" s="79" t="s">
        <v>23</v>
      </c>
      <c r="D467" s="79" t="s">
        <v>30</v>
      </c>
      <c r="E467" s="68">
        <v>0</v>
      </c>
      <c r="F467" s="68">
        <v>0</v>
      </c>
      <c r="G467" s="68">
        <v>2125</v>
      </c>
      <c r="H467" s="68">
        <v>1760</v>
      </c>
      <c r="I467" s="68">
        <v>0</v>
      </c>
      <c r="J467" s="68">
        <v>1784</v>
      </c>
      <c r="K467" s="68">
        <v>1950</v>
      </c>
      <c r="L467" s="68">
        <v>0</v>
      </c>
      <c r="M467" s="68">
        <v>7246</v>
      </c>
      <c r="N467" s="68">
        <v>3220</v>
      </c>
      <c r="O467" s="68">
        <v>2490</v>
      </c>
      <c r="P467" s="68">
        <v>6380</v>
      </c>
      <c r="Q467" s="68">
        <f>SUM(E467:P467)</f>
        <v>26955</v>
      </c>
      <c r="R467" s="65"/>
    </row>
    <row r="468" spans="1:18" s="66" customFormat="1">
      <c r="A468" s="67">
        <v>467</v>
      </c>
      <c r="B468" s="78" t="s">
        <v>852</v>
      </c>
      <c r="C468" s="79" t="s">
        <v>23</v>
      </c>
      <c r="D468" s="79" t="s">
        <v>30</v>
      </c>
      <c r="E468" s="68">
        <v>0</v>
      </c>
      <c r="F468" s="68">
        <v>0</v>
      </c>
      <c r="G468" s="68">
        <v>0</v>
      </c>
      <c r="H468" s="68">
        <v>0</v>
      </c>
      <c r="I468" s="68">
        <v>0</v>
      </c>
      <c r="J468" s="68">
        <v>0</v>
      </c>
      <c r="K468" s="68">
        <v>0</v>
      </c>
      <c r="L468" s="68">
        <v>0</v>
      </c>
      <c r="M468" s="68">
        <v>0</v>
      </c>
      <c r="N468" s="68">
        <v>1320</v>
      </c>
      <c r="O468" s="68">
        <v>0</v>
      </c>
      <c r="P468" s="68">
        <v>0</v>
      </c>
      <c r="Q468" s="68">
        <f>SUM(E468:P468)</f>
        <v>1320</v>
      </c>
      <c r="R468" s="65"/>
    </row>
    <row r="469" spans="1:18" s="66" customFormat="1">
      <c r="A469" s="67">
        <v>468</v>
      </c>
      <c r="B469" s="78" t="s">
        <v>853</v>
      </c>
      <c r="C469" s="79" t="s">
        <v>854</v>
      </c>
      <c r="D469" s="79" t="s">
        <v>22</v>
      </c>
      <c r="E469" s="68">
        <v>36235</v>
      </c>
      <c r="F469" s="68">
        <v>0</v>
      </c>
      <c r="G469" s="68">
        <v>0</v>
      </c>
      <c r="H469" s="68">
        <v>0</v>
      </c>
      <c r="I469" s="68">
        <v>0</v>
      </c>
      <c r="J469" s="68">
        <v>0</v>
      </c>
      <c r="K469" s="68">
        <v>0</v>
      </c>
      <c r="L469" s="68">
        <v>0</v>
      </c>
      <c r="M469" s="68">
        <v>0</v>
      </c>
      <c r="N469" s="68">
        <v>0</v>
      </c>
      <c r="O469" s="68">
        <v>0</v>
      </c>
      <c r="P469" s="68">
        <v>0</v>
      </c>
      <c r="Q469" s="68">
        <f>SUM(E469:P469)</f>
        <v>36235</v>
      </c>
      <c r="R469" s="65"/>
    </row>
    <row r="470" spans="1:18" s="66" customFormat="1">
      <c r="A470" s="67">
        <v>469</v>
      </c>
      <c r="B470" s="78" t="s">
        <v>855</v>
      </c>
      <c r="C470" s="79" t="s">
        <v>856</v>
      </c>
      <c r="D470" s="79" t="s">
        <v>19</v>
      </c>
      <c r="E470" s="68">
        <v>0</v>
      </c>
      <c r="F470" s="68">
        <v>0</v>
      </c>
      <c r="G470" s="68">
        <v>0</v>
      </c>
      <c r="H470" s="68">
        <v>0</v>
      </c>
      <c r="I470" s="68">
        <v>0</v>
      </c>
      <c r="J470" s="68">
        <v>10310</v>
      </c>
      <c r="K470" s="68">
        <v>2320</v>
      </c>
      <c r="L470" s="68">
        <v>0</v>
      </c>
      <c r="M470" s="68">
        <v>0</v>
      </c>
      <c r="N470" s="68">
        <v>0</v>
      </c>
      <c r="O470" s="68">
        <v>0</v>
      </c>
      <c r="P470" s="68">
        <v>0</v>
      </c>
      <c r="Q470" s="68">
        <f>SUM(E470:P470)</f>
        <v>12630</v>
      </c>
      <c r="R470" s="65"/>
    </row>
    <row r="471" spans="1:18" s="66" customFormat="1">
      <c r="A471" s="67">
        <v>470</v>
      </c>
      <c r="B471" s="78" t="s">
        <v>857</v>
      </c>
      <c r="C471" s="79" t="s">
        <v>23</v>
      </c>
      <c r="D471" s="79" t="s">
        <v>30</v>
      </c>
      <c r="E471" s="68">
        <v>0</v>
      </c>
      <c r="F471" s="68">
        <v>0</v>
      </c>
      <c r="G471" s="68">
        <v>0</v>
      </c>
      <c r="H471" s="68">
        <v>0</v>
      </c>
      <c r="I471" s="68">
        <v>0</v>
      </c>
      <c r="J471" s="68">
        <v>1050</v>
      </c>
      <c r="K471" s="68">
        <v>1540</v>
      </c>
      <c r="L471" s="68">
        <v>1715</v>
      </c>
      <c r="M471" s="68">
        <v>0</v>
      </c>
      <c r="N471" s="68">
        <v>0</v>
      </c>
      <c r="O471" s="68">
        <v>0</v>
      </c>
      <c r="P471" s="68">
        <v>0</v>
      </c>
      <c r="Q471" s="68">
        <f>SUM(E471:P471)</f>
        <v>4305</v>
      </c>
      <c r="R471" s="65"/>
    </row>
    <row r="472" spans="1:18" s="66" customFormat="1">
      <c r="A472" s="67">
        <v>471</v>
      </c>
      <c r="B472" s="78" t="s">
        <v>858</v>
      </c>
      <c r="C472" s="79" t="s">
        <v>859</v>
      </c>
      <c r="D472" s="79" t="s">
        <v>433</v>
      </c>
      <c r="E472" s="68">
        <v>0</v>
      </c>
      <c r="F472" s="68">
        <v>0</v>
      </c>
      <c r="G472" s="68">
        <v>0</v>
      </c>
      <c r="H472" s="68">
        <v>0</v>
      </c>
      <c r="I472" s="68">
        <v>0</v>
      </c>
      <c r="J472" s="68">
        <v>49005</v>
      </c>
      <c r="K472" s="68">
        <v>24750</v>
      </c>
      <c r="L472" s="68">
        <v>0</v>
      </c>
      <c r="M472" s="68">
        <v>0</v>
      </c>
      <c r="N472" s="68">
        <v>0</v>
      </c>
      <c r="O472" s="68">
        <v>0</v>
      </c>
      <c r="P472" s="68">
        <v>0</v>
      </c>
      <c r="Q472" s="68">
        <f>SUM(E472:P472)</f>
        <v>73755</v>
      </c>
      <c r="R472" s="65"/>
    </row>
    <row r="473" spans="1:18" s="66" customFormat="1">
      <c r="A473" s="67">
        <v>472</v>
      </c>
      <c r="B473" s="78" t="s">
        <v>860</v>
      </c>
      <c r="C473" s="79" t="s">
        <v>861</v>
      </c>
      <c r="D473" s="79" t="s">
        <v>257</v>
      </c>
      <c r="E473" s="68">
        <v>0</v>
      </c>
      <c r="F473" s="68">
        <v>2940</v>
      </c>
      <c r="G473" s="68">
        <v>2940</v>
      </c>
      <c r="H473" s="68">
        <v>0</v>
      </c>
      <c r="I473" s="68">
        <v>0</v>
      </c>
      <c r="J473" s="68">
        <v>0</v>
      </c>
      <c r="K473" s="68">
        <v>0</v>
      </c>
      <c r="L473" s="68">
        <v>0</v>
      </c>
      <c r="M473" s="68">
        <v>0</v>
      </c>
      <c r="N473" s="68">
        <v>0</v>
      </c>
      <c r="O473" s="68">
        <v>0</v>
      </c>
      <c r="P473" s="68">
        <v>0</v>
      </c>
      <c r="Q473" s="68">
        <f>SUM(E473:P473)</f>
        <v>5880</v>
      </c>
      <c r="R473" s="65"/>
    </row>
    <row r="474" spans="1:18" s="66" customFormat="1">
      <c r="A474" s="67">
        <v>473</v>
      </c>
      <c r="B474" s="78" t="s">
        <v>862</v>
      </c>
      <c r="C474" s="79" t="s">
        <v>863</v>
      </c>
      <c r="D474" s="79" t="s">
        <v>19</v>
      </c>
      <c r="E474" s="68">
        <v>0</v>
      </c>
      <c r="F474" s="68">
        <v>0</v>
      </c>
      <c r="G474" s="68">
        <v>0</v>
      </c>
      <c r="H474" s="68">
        <v>0</v>
      </c>
      <c r="I474" s="68">
        <v>0</v>
      </c>
      <c r="J474" s="68">
        <v>0</v>
      </c>
      <c r="K474" s="68">
        <v>19500</v>
      </c>
      <c r="L474" s="68">
        <v>0</v>
      </c>
      <c r="M474" s="68">
        <v>0</v>
      </c>
      <c r="N474" s="68">
        <v>0</v>
      </c>
      <c r="O474" s="68">
        <v>0</v>
      </c>
      <c r="P474" s="68">
        <v>0</v>
      </c>
      <c r="Q474" s="68">
        <f>SUM(E474:P474)</f>
        <v>19500</v>
      </c>
      <c r="R474" s="65"/>
    </row>
    <row r="475" spans="1:18" s="66" customFormat="1">
      <c r="A475" s="67">
        <v>474</v>
      </c>
      <c r="B475" s="78" t="s">
        <v>864</v>
      </c>
      <c r="C475" s="79" t="s">
        <v>865</v>
      </c>
      <c r="D475" s="79" t="s">
        <v>104</v>
      </c>
      <c r="E475" s="68">
        <v>8260</v>
      </c>
      <c r="F475" s="68">
        <v>0</v>
      </c>
      <c r="G475" s="68">
        <v>3500</v>
      </c>
      <c r="H475" s="68">
        <v>0</v>
      </c>
      <c r="I475" s="68">
        <v>17332</v>
      </c>
      <c r="J475" s="68">
        <v>9082</v>
      </c>
      <c r="K475" s="68">
        <v>0</v>
      </c>
      <c r="L475" s="68">
        <v>3556.5</v>
      </c>
      <c r="M475" s="68">
        <v>6811</v>
      </c>
      <c r="N475" s="68">
        <v>6939</v>
      </c>
      <c r="O475" s="68">
        <v>6463.6</v>
      </c>
      <c r="P475" s="68">
        <v>0</v>
      </c>
      <c r="Q475" s="68">
        <f>SUM(E475:P475)</f>
        <v>61944.1</v>
      </c>
      <c r="R475" s="65"/>
    </row>
    <row r="476" spans="1:18" s="66" customFormat="1">
      <c r="A476" s="67">
        <v>475</v>
      </c>
      <c r="B476" s="78" t="s">
        <v>866</v>
      </c>
      <c r="C476" s="79" t="s">
        <v>23</v>
      </c>
      <c r="D476" s="79" t="s">
        <v>30</v>
      </c>
      <c r="E476" s="68">
        <v>0</v>
      </c>
      <c r="F476" s="68">
        <v>0</v>
      </c>
      <c r="G476" s="68">
        <v>0</v>
      </c>
      <c r="H476" s="68">
        <v>0</v>
      </c>
      <c r="I476" s="68">
        <v>0</v>
      </c>
      <c r="J476" s="68">
        <v>0</v>
      </c>
      <c r="K476" s="68">
        <v>0</v>
      </c>
      <c r="L476" s="68">
        <v>907</v>
      </c>
      <c r="M476" s="68">
        <v>0</v>
      </c>
      <c r="N476" s="68">
        <v>0</v>
      </c>
      <c r="O476" s="68">
        <v>0</v>
      </c>
      <c r="P476" s="68">
        <v>0</v>
      </c>
      <c r="Q476" s="68">
        <f>SUM(E476:P476)</f>
        <v>907</v>
      </c>
      <c r="R476" s="65"/>
    </row>
    <row r="477" spans="1:18" s="66" customFormat="1">
      <c r="A477" s="67">
        <v>476</v>
      </c>
      <c r="B477" s="78" t="s">
        <v>867</v>
      </c>
      <c r="C477" s="79" t="s">
        <v>868</v>
      </c>
      <c r="D477" s="79" t="s">
        <v>69</v>
      </c>
      <c r="E477" s="68">
        <v>0</v>
      </c>
      <c r="F477" s="68">
        <v>2450</v>
      </c>
      <c r="G477" s="68">
        <v>0</v>
      </c>
      <c r="H477" s="68">
        <v>0</v>
      </c>
      <c r="I477" s="68">
        <v>0</v>
      </c>
      <c r="J477" s="68">
        <v>0</v>
      </c>
      <c r="K477" s="68">
        <v>0</v>
      </c>
      <c r="L477" s="68">
        <v>0</v>
      </c>
      <c r="M477" s="68">
        <v>0</v>
      </c>
      <c r="N477" s="68">
        <v>0</v>
      </c>
      <c r="O477" s="68">
        <v>0</v>
      </c>
      <c r="P477" s="68">
        <v>0</v>
      </c>
      <c r="Q477" s="68">
        <f>SUM(E477:P477)</f>
        <v>2450</v>
      </c>
      <c r="R477" s="65"/>
    </row>
    <row r="478" spans="1:18" s="66" customFormat="1">
      <c r="A478" s="67">
        <v>477</v>
      </c>
      <c r="B478" s="78" t="s">
        <v>869</v>
      </c>
      <c r="C478" s="79" t="s">
        <v>23</v>
      </c>
      <c r="D478" s="79" t="s">
        <v>30</v>
      </c>
      <c r="E478" s="68">
        <v>0</v>
      </c>
      <c r="F478" s="68">
        <v>0</v>
      </c>
      <c r="G478" s="68">
        <v>0</v>
      </c>
      <c r="H478" s="68">
        <v>1893.75</v>
      </c>
      <c r="I478" s="68">
        <v>0</v>
      </c>
      <c r="J478" s="68">
        <v>0</v>
      </c>
      <c r="K478" s="68">
        <v>0</v>
      </c>
      <c r="L478" s="68">
        <v>0</v>
      </c>
      <c r="M478" s="68">
        <v>0</v>
      </c>
      <c r="N478" s="68">
        <v>0</v>
      </c>
      <c r="O478" s="68">
        <v>0</v>
      </c>
      <c r="P478" s="68">
        <v>0</v>
      </c>
      <c r="Q478" s="68">
        <f>SUM(E478:P478)</f>
        <v>1893.75</v>
      </c>
      <c r="R478" s="65"/>
    </row>
    <row r="479" spans="1:18" s="66" customFormat="1">
      <c r="A479" s="67">
        <v>478</v>
      </c>
      <c r="B479" s="78" t="s">
        <v>870</v>
      </c>
      <c r="C479" s="79" t="s">
        <v>871</v>
      </c>
      <c r="D479" s="79" t="s">
        <v>19</v>
      </c>
      <c r="E479" s="68">
        <v>0</v>
      </c>
      <c r="F479" s="68">
        <v>0</v>
      </c>
      <c r="G479" s="68">
        <v>0</v>
      </c>
      <c r="H479" s="68">
        <v>0</v>
      </c>
      <c r="I479" s="68">
        <v>0</v>
      </c>
      <c r="J479" s="68">
        <v>0</v>
      </c>
      <c r="K479" s="68">
        <v>0</v>
      </c>
      <c r="L479" s="68">
        <v>0</v>
      </c>
      <c r="M479" s="68">
        <v>1089</v>
      </c>
      <c r="N479" s="68">
        <v>0</v>
      </c>
      <c r="O479" s="68">
        <v>0</v>
      </c>
      <c r="P479" s="68">
        <v>16622</v>
      </c>
      <c r="Q479" s="68">
        <f>SUM(E479:P479)</f>
        <v>17711</v>
      </c>
      <c r="R479" s="65"/>
    </row>
    <row r="480" spans="1:18" s="66" customFormat="1">
      <c r="A480" s="67">
        <v>479</v>
      </c>
      <c r="B480" s="78" t="s">
        <v>872</v>
      </c>
      <c r="C480" s="79" t="s">
        <v>873</v>
      </c>
      <c r="D480" s="79" t="s">
        <v>90</v>
      </c>
      <c r="E480" s="68">
        <v>0</v>
      </c>
      <c r="F480" s="68">
        <v>0</v>
      </c>
      <c r="G480" s="68">
        <v>0</v>
      </c>
      <c r="H480" s="68">
        <v>0</v>
      </c>
      <c r="I480" s="68">
        <v>500</v>
      </c>
      <c r="J480" s="68">
        <v>0</v>
      </c>
      <c r="K480" s="68">
        <v>0</v>
      </c>
      <c r="L480" s="68">
        <v>0</v>
      </c>
      <c r="M480" s="68">
        <v>0</v>
      </c>
      <c r="N480" s="68">
        <v>0</v>
      </c>
      <c r="O480" s="68">
        <v>0</v>
      </c>
      <c r="P480" s="68">
        <v>0</v>
      </c>
      <c r="Q480" s="68">
        <f>SUM(E480:P480)</f>
        <v>500</v>
      </c>
      <c r="R480" s="65"/>
    </row>
    <row r="481" spans="1:18" s="66" customFormat="1">
      <c r="A481" s="67">
        <v>480</v>
      </c>
      <c r="B481" s="78" t="s">
        <v>874</v>
      </c>
      <c r="C481" s="79" t="s">
        <v>875</v>
      </c>
      <c r="D481" s="79" t="s">
        <v>19</v>
      </c>
      <c r="E481" s="68">
        <v>0</v>
      </c>
      <c r="F481" s="68">
        <v>0</v>
      </c>
      <c r="G481" s="68">
        <v>0</v>
      </c>
      <c r="H481" s="68">
        <v>0</v>
      </c>
      <c r="I481" s="68">
        <v>0</v>
      </c>
      <c r="J481" s="68">
        <v>0</v>
      </c>
      <c r="K481" s="68">
        <v>0</v>
      </c>
      <c r="L481" s="68">
        <v>0</v>
      </c>
      <c r="M481" s="68">
        <v>0</v>
      </c>
      <c r="N481" s="68">
        <v>5040</v>
      </c>
      <c r="O481" s="68">
        <v>0</v>
      </c>
      <c r="P481" s="68">
        <v>0</v>
      </c>
      <c r="Q481" s="68">
        <f>SUM(E481:P481)</f>
        <v>5040</v>
      </c>
      <c r="R481" s="65"/>
    </row>
    <row r="482" spans="1:18" s="66" customFormat="1">
      <c r="A482" s="67">
        <v>481</v>
      </c>
      <c r="B482" s="78" t="s">
        <v>876</v>
      </c>
      <c r="C482" s="79" t="s">
        <v>877</v>
      </c>
      <c r="D482" s="79" t="s">
        <v>19</v>
      </c>
      <c r="E482" s="68">
        <v>0</v>
      </c>
      <c r="F482" s="68">
        <v>0</v>
      </c>
      <c r="G482" s="68">
        <v>6450</v>
      </c>
      <c r="H482" s="68">
        <v>0</v>
      </c>
      <c r="I482" s="68">
        <v>0</v>
      </c>
      <c r="J482" s="68">
        <v>0</v>
      </c>
      <c r="K482" s="68">
        <v>0</v>
      </c>
      <c r="L482" s="68">
        <v>0</v>
      </c>
      <c r="M482" s="68">
        <v>0</v>
      </c>
      <c r="N482" s="68">
        <v>0</v>
      </c>
      <c r="O482" s="68">
        <v>0</v>
      </c>
      <c r="P482" s="68">
        <v>0</v>
      </c>
      <c r="Q482" s="68">
        <f>SUM(E482:P482)</f>
        <v>6450</v>
      </c>
      <c r="R482" s="65"/>
    </row>
    <row r="483" spans="1:18" s="66" customFormat="1">
      <c r="A483" s="67">
        <v>482</v>
      </c>
      <c r="B483" s="78" t="s">
        <v>878</v>
      </c>
      <c r="C483" s="79" t="s">
        <v>879</v>
      </c>
      <c r="D483" s="79" t="s">
        <v>177</v>
      </c>
      <c r="E483" s="68">
        <v>0</v>
      </c>
      <c r="F483" s="68">
        <v>0</v>
      </c>
      <c r="G483" s="68">
        <v>0</v>
      </c>
      <c r="H483" s="68">
        <v>10200</v>
      </c>
      <c r="I483" s="68">
        <v>22440</v>
      </c>
      <c r="J483" s="68">
        <v>0</v>
      </c>
      <c r="K483" s="68">
        <v>0</v>
      </c>
      <c r="L483" s="68">
        <v>0</v>
      </c>
      <c r="M483" s="68">
        <v>0</v>
      </c>
      <c r="N483" s="68">
        <v>0</v>
      </c>
      <c r="O483" s="68">
        <v>0</v>
      </c>
      <c r="P483" s="68">
        <v>0</v>
      </c>
      <c r="Q483" s="68">
        <f>SUM(E483:P483)</f>
        <v>32640</v>
      </c>
      <c r="R483" s="65"/>
    </row>
    <row r="484" spans="1:18" s="66" customFormat="1">
      <c r="A484" s="67">
        <v>483</v>
      </c>
      <c r="B484" s="78" t="s">
        <v>880</v>
      </c>
      <c r="C484" s="79" t="s">
        <v>23</v>
      </c>
      <c r="D484" s="79" t="s">
        <v>30</v>
      </c>
      <c r="E484" s="68">
        <v>0</v>
      </c>
      <c r="F484" s="68">
        <v>0</v>
      </c>
      <c r="G484" s="68">
        <v>0</v>
      </c>
      <c r="H484" s="68">
        <v>0</v>
      </c>
      <c r="I484" s="68">
        <v>0</v>
      </c>
      <c r="J484" s="68">
        <v>0</v>
      </c>
      <c r="K484" s="68">
        <v>0</v>
      </c>
      <c r="L484" s="68">
        <v>1943</v>
      </c>
      <c r="M484" s="68">
        <v>0</v>
      </c>
      <c r="N484" s="68">
        <v>0</v>
      </c>
      <c r="O484" s="68">
        <v>0</v>
      </c>
      <c r="P484" s="68">
        <v>0</v>
      </c>
      <c r="Q484" s="68">
        <f>SUM(E484:P484)</f>
        <v>1943</v>
      </c>
      <c r="R484" s="65"/>
    </row>
    <row r="485" spans="1:18" s="66" customFormat="1">
      <c r="A485" s="67">
        <v>484</v>
      </c>
      <c r="B485" s="78" t="s">
        <v>881</v>
      </c>
      <c r="C485" s="79" t="s">
        <v>882</v>
      </c>
      <c r="D485" s="79" t="s">
        <v>19</v>
      </c>
      <c r="E485" s="68">
        <v>0</v>
      </c>
      <c r="F485" s="68">
        <v>0</v>
      </c>
      <c r="G485" s="68">
        <v>0</v>
      </c>
      <c r="H485" s="68">
        <v>0</v>
      </c>
      <c r="I485" s="68">
        <v>0</v>
      </c>
      <c r="J485" s="68">
        <v>0</v>
      </c>
      <c r="K485" s="68">
        <v>0</v>
      </c>
      <c r="L485" s="68">
        <v>0</v>
      </c>
      <c r="M485" s="68">
        <v>9800</v>
      </c>
      <c r="N485" s="68">
        <v>0</v>
      </c>
      <c r="O485" s="68">
        <v>0</v>
      </c>
      <c r="P485" s="68">
        <v>0</v>
      </c>
      <c r="Q485" s="68">
        <f>SUM(E485:P485)</f>
        <v>9800</v>
      </c>
      <c r="R485" s="65"/>
    </row>
    <row r="486" spans="1:18" s="66" customFormat="1">
      <c r="A486" s="67">
        <v>485</v>
      </c>
      <c r="B486" s="78" t="s">
        <v>883</v>
      </c>
      <c r="C486" s="79" t="s">
        <v>23</v>
      </c>
      <c r="D486" s="79" t="s">
        <v>30</v>
      </c>
      <c r="E486" s="68">
        <v>0</v>
      </c>
      <c r="F486" s="68">
        <v>0</v>
      </c>
      <c r="G486" s="68">
        <v>0</v>
      </c>
      <c r="H486" s="68">
        <v>0</v>
      </c>
      <c r="I486" s="68">
        <v>0</v>
      </c>
      <c r="J486" s="68">
        <v>0</v>
      </c>
      <c r="K486" s="68">
        <v>0</v>
      </c>
      <c r="L486" s="68">
        <v>0</v>
      </c>
      <c r="M486" s="68">
        <v>0</v>
      </c>
      <c r="N486" s="68">
        <v>15320</v>
      </c>
      <c r="O486" s="68">
        <v>0</v>
      </c>
      <c r="P486" s="68">
        <v>24000</v>
      </c>
      <c r="Q486" s="68">
        <f>SUM(E486:P486)</f>
        <v>39320</v>
      </c>
      <c r="R486" s="65"/>
    </row>
    <row r="487" spans="1:18" s="66" customFormat="1">
      <c r="A487" s="67">
        <v>486</v>
      </c>
      <c r="B487" s="78" t="s">
        <v>884</v>
      </c>
      <c r="C487" s="79" t="s">
        <v>885</v>
      </c>
      <c r="D487" s="79" t="s">
        <v>19</v>
      </c>
      <c r="E487" s="68">
        <v>10100</v>
      </c>
      <c r="F487" s="68">
        <v>0</v>
      </c>
      <c r="G487" s="68">
        <v>0</v>
      </c>
      <c r="H487" s="68">
        <v>0</v>
      </c>
      <c r="I487" s="68">
        <v>0</v>
      </c>
      <c r="J487" s="68">
        <v>0</v>
      </c>
      <c r="K487" s="68">
        <v>0</v>
      </c>
      <c r="L487" s="68">
        <v>0</v>
      </c>
      <c r="M487" s="68">
        <v>10140</v>
      </c>
      <c r="N487" s="68">
        <v>0</v>
      </c>
      <c r="O487" s="68">
        <v>6000</v>
      </c>
      <c r="P487" s="68">
        <v>0</v>
      </c>
      <c r="Q487" s="68">
        <f>SUM(E487:P487)</f>
        <v>26240</v>
      </c>
      <c r="R487" s="65"/>
    </row>
    <row r="488" spans="1:18" s="66" customFormat="1">
      <c r="A488" s="67">
        <v>487</v>
      </c>
      <c r="B488" s="78" t="s">
        <v>886</v>
      </c>
      <c r="C488" s="79" t="s">
        <v>887</v>
      </c>
      <c r="D488" s="79" t="s">
        <v>170</v>
      </c>
      <c r="E488" s="68">
        <v>0</v>
      </c>
      <c r="F488" s="68">
        <v>0</v>
      </c>
      <c r="G488" s="68">
        <v>0</v>
      </c>
      <c r="H488" s="68">
        <v>3628.5</v>
      </c>
      <c r="I488" s="68">
        <v>0</v>
      </c>
      <c r="J488" s="68">
        <v>0</v>
      </c>
      <c r="K488" s="68">
        <v>0</v>
      </c>
      <c r="L488" s="68">
        <v>0</v>
      </c>
      <c r="M488" s="68">
        <v>0</v>
      </c>
      <c r="N488" s="68">
        <v>0</v>
      </c>
      <c r="O488" s="68">
        <v>0</v>
      </c>
      <c r="P488" s="68">
        <v>0</v>
      </c>
      <c r="Q488" s="68">
        <f>SUM(E488:P488)</f>
        <v>3628.5</v>
      </c>
      <c r="R488" s="65"/>
    </row>
    <row r="489" spans="1:18" s="66" customFormat="1">
      <c r="A489" s="67">
        <v>488</v>
      </c>
      <c r="B489" s="78" t="s">
        <v>888</v>
      </c>
      <c r="C489" s="79" t="s">
        <v>889</v>
      </c>
      <c r="D489" s="79" t="s">
        <v>19</v>
      </c>
      <c r="E489" s="68">
        <v>0</v>
      </c>
      <c r="F489" s="68">
        <v>0</v>
      </c>
      <c r="G489" s="68">
        <v>0</v>
      </c>
      <c r="H489" s="68">
        <v>0</v>
      </c>
      <c r="I489" s="68">
        <v>0</v>
      </c>
      <c r="J489" s="68">
        <v>0</v>
      </c>
      <c r="K489" s="68">
        <v>0</v>
      </c>
      <c r="L489" s="68">
        <v>171000</v>
      </c>
      <c r="M489" s="68">
        <v>0</v>
      </c>
      <c r="N489" s="68">
        <v>0</v>
      </c>
      <c r="O489" s="68">
        <v>0</v>
      </c>
      <c r="P489" s="68">
        <v>0</v>
      </c>
      <c r="Q489" s="68">
        <f>SUM(E489:P489)</f>
        <v>171000</v>
      </c>
      <c r="R489" s="65"/>
    </row>
    <row r="490" spans="1:18" s="66" customFormat="1">
      <c r="A490" s="67">
        <v>489</v>
      </c>
      <c r="B490" s="78" t="s">
        <v>890</v>
      </c>
      <c r="C490" s="79" t="s">
        <v>23</v>
      </c>
      <c r="D490" s="79" t="s">
        <v>30</v>
      </c>
      <c r="E490" s="68">
        <v>0</v>
      </c>
      <c r="F490" s="68">
        <v>0</v>
      </c>
      <c r="G490" s="68">
        <v>0</v>
      </c>
      <c r="H490" s="68">
        <v>0</v>
      </c>
      <c r="I490" s="68">
        <v>0</v>
      </c>
      <c r="J490" s="68">
        <v>0</v>
      </c>
      <c r="K490" s="68">
        <v>8843</v>
      </c>
      <c r="L490" s="68">
        <v>1101</v>
      </c>
      <c r="M490" s="68">
        <v>0</v>
      </c>
      <c r="N490" s="68">
        <v>0</v>
      </c>
      <c r="O490" s="68">
        <v>0</v>
      </c>
      <c r="P490" s="68">
        <v>0</v>
      </c>
      <c r="Q490" s="68">
        <f>SUM(E490:P490)</f>
        <v>9944</v>
      </c>
      <c r="R490" s="65"/>
    </row>
    <row r="491" spans="1:18" s="66" customFormat="1">
      <c r="A491" s="67">
        <v>490</v>
      </c>
      <c r="B491" s="78" t="s">
        <v>891</v>
      </c>
      <c r="C491" s="79" t="s">
        <v>23</v>
      </c>
      <c r="D491" s="79" t="s">
        <v>30</v>
      </c>
      <c r="E491" s="68">
        <v>0</v>
      </c>
      <c r="F491" s="68">
        <v>0</v>
      </c>
      <c r="G491" s="68">
        <v>0</v>
      </c>
      <c r="H491" s="68">
        <v>0</v>
      </c>
      <c r="I491" s="68">
        <v>0</v>
      </c>
      <c r="J491" s="68">
        <v>0</v>
      </c>
      <c r="K491" s="68">
        <v>0</v>
      </c>
      <c r="L491" s="68">
        <v>0</v>
      </c>
      <c r="M491" s="68">
        <v>0</v>
      </c>
      <c r="N491" s="68">
        <v>0</v>
      </c>
      <c r="O491" s="68">
        <v>0</v>
      </c>
      <c r="P491" s="68">
        <v>3100</v>
      </c>
      <c r="Q491" s="68">
        <f>SUM(E491:P491)</f>
        <v>3100</v>
      </c>
      <c r="R491" s="65"/>
    </row>
    <row r="492" spans="1:18" s="66" customFormat="1">
      <c r="A492" s="67">
        <v>491</v>
      </c>
      <c r="B492" s="78" t="s">
        <v>892</v>
      </c>
      <c r="C492" s="79" t="s">
        <v>893</v>
      </c>
      <c r="D492" s="79" t="s">
        <v>90</v>
      </c>
      <c r="E492" s="68">
        <v>60057</v>
      </c>
      <c r="F492" s="68">
        <v>6760</v>
      </c>
      <c r="G492" s="68">
        <v>0</v>
      </c>
      <c r="H492" s="68">
        <v>0</v>
      </c>
      <c r="I492" s="68">
        <v>2310</v>
      </c>
      <c r="J492" s="68">
        <v>19384</v>
      </c>
      <c r="K492" s="68">
        <v>3120</v>
      </c>
      <c r="L492" s="68">
        <v>5650</v>
      </c>
      <c r="M492" s="68">
        <v>6567.5</v>
      </c>
      <c r="N492" s="68">
        <v>0</v>
      </c>
      <c r="O492" s="68">
        <v>3000</v>
      </c>
      <c r="P492" s="68">
        <v>0</v>
      </c>
      <c r="Q492" s="68">
        <f>SUM(E492:P492)</f>
        <v>106848.5</v>
      </c>
      <c r="R492" s="65"/>
    </row>
    <row r="493" spans="1:18" s="66" customFormat="1">
      <c r="A493" s="67">
        <v>492</v>
      </c>
      <c r="B493" s="78" t="s">
        <v>894</v>
      </c>
      <c r="C493" s="79" t="s">
        <v>895</v>
      </c>
      <c r="D493" s="79" t="s">
        <v>19</v>
      </c>
      <c r="E493" s="68">
        <v>0</v>
      </c>
      <c r="F493" s="68">
        <v>0</v>
      </c>
      <c r="G493" s="68">
        <v>0</v>
      </c>
      <c r="H493" s="68">
        <v>0</v>
      </c>
      <c r="I493" s="68">
        <v>0</v>
      </c>
      <c r="J493" s="68">
        <v>0</v>
      </c>
      <c r="K493" s="68">
        <v>0</v>
      </c>
      <c r="L493" s="68">
        <v>0</v>
      </c>
      <c r="M493" s="68">
        <v>0</v>
      </c>
      <c r="N493" s="68">
        <v>0</v>
      </c>
      <c r="O493" s="68">
        <v>12130</v>
      </c>
      <c r="P493" s="68">
        <v>0</v>
      </c>
      <c r="Q493" s="68">
        <f>SUM(E493:P493)</f>
        <v>12130</v>
      </c>
      <c r="R493" s="65"/>
    </row>
    <row r="494" spans="1:18" s="66" customFormat="1">
      <c r="A494" s="67">
        <v>493</v>
      </c>
      <c r="B494" s="78" t="s">
        <v>896</v>
      </c>
      <c r="C494" s="79" t="s">
        <v>897</v>
      </c>
      <c r="D494" s="79" t="s">
        <v>19</v>
      </c>
      <c r="E494" s="68">
        <v>0</v>
      </c>
      <c r="F494" s="68">
        <v>0</v>
      </c>
      <c r="G494" s="68">
        <v>0</v>
      </c>
      <c r="H494" s="68">
        <v>0</v>
      </c>
      <c r="I494" s="68">
        <v>0</v>
      </c>
      <c r="J494" s="68">
        <v>0</v>
      </c>
      <c r="K494" s="68">
        <v>0</v>
      </c>
      <c r="L494" s="68">
        <v>0</v>
      </c>
      <c r="M494" s="68">
        <v>2750</v>
      </c>
      <c r="N494" s="68">
        <v>0</v>
      </c>
      <c r="O494" s="68">
        <v>0</v>
      </c>
      <c r="P494" s="68">
        <v>0</v>
      </c>
      <c r="Q494" s="68">
        <f>SUM(E494:P494)</f>
        <v>2750</v>
      </c>
      <c r="R494" s="65"/>
    </row>
    <row r="495" spans="1:18" s="66" customFormat="1" ht="30.75">
      <c r="A495" s="67">
        <v>494</v>
      </c>
      <c r="B495" s="78" t="s">
        <v>898</v>
      </c>
      <c r="C495" s="79" t="s">
        <v>899</v>
      </c>
      <c r="D495" s="79" t="s">
        <v>19</v>
      </c>
      <c r="E495" s="68">
        <v>0</v>
      </c>
      <c r="F495" s="68">
        <v>6960</v>
      </c>
      <c r="G495" s="68">
        <v>0</v>
      </c>
      <c r="H495" s="68">
        <v>9050</v>
      </c>
      <c r="I495" s="68">
        <v>0</v>
      </c>
      <c r="J495" s="68">
        <v>0</v>
      </c>
      <c r="K495" s="68">
        <v>5475</v>
      </c>
      <c r="L495" s="68">
        <v>1900</v>
      </c>
      <c r="M495" s="68">
        <v>0</v>
      </c>
      <c r="N495" s="68">
        <v>0</v>
      </c>
      <c r="O495" s="68">
        <v>5000</v>
      </c>
      <c r="P495" s="68">
        <v>0</v>
      </c>
      <c r="Q495" s="68">
        <f>SUM(E495:P495)</f>
        <v>28385</v>
      </c>
      <c r="R495" s="65"/>
    </row>
    <row r="496" spans="1:18" s="66" customFormat="1">
      <c r="A496" s="67">
        <v>495</v>
      </c>
      <c r="B496" s="78" t="s">
        <v>900</v>
      </c>
      <c r="C496" s="79" t="s">
        <v>901</v>
      </c>
      <c r="D496" s="79" t="s">
        <v>30</v>
      </c>
      <c r="E496" s="68">
        <v>0</v>
      </c>
      <c r="F496" s="68">
        <v>0</v>
      </c>
      <c r="G496" s="68">
        <v>0</v>
      </c>
      <c r="H496" s="68">
        <v>0</v>
      </c>
      <c r="I496" s="68">
        <v>31045</v>
      </c>
      <c r="J496" s="68">
        <v>0</v>
      </c>
      <c r="K496" s="68">
        <v>0</v>
      </c>
      <c r="L496" s="68">
        <v>0</v>
      </c>
      <c r="M496" s="68">
        <v>0</v>
      </c>
      <c r="N496" s="68">
        <v>0</v>
      </c>
      <c r="O496" s="68">
        <v>0</v>
      </c>
      <c r="P496" s="68">
        <v>0</v>
      </c>
      <c r="Q496" s="68">
        <f>SUM(E496:P496)</f>
        <v>31045</v>
      </c>
      <c r="R496" s="65"/>
    </row>
    <row r="497" spans="1:18" s="66" customFormat="1">
      <c r="A497" s="67">
        <v>496</v>
      </c>
      <c r="B497" s="78" t="s">
        <v>902</v>
      </c>
      <c r="C497" s="79" t="s">
        <v>903</v>
      </c>
      <c r="D497" s="79" t="s">
        <v>19</v>
      </c>
      <c r="E497" s="68">
        <v>0</v>
      </c>
      <c r="F497" s="68">
        <v>0</v>
      </c>
      <c r="G497" s="68">
        <v>0</v>
      </c>
      <c r="H497" s="68">
        <v>0</v>
      </c>
      <c r="I497" s="68">
        <v>0</v>
      </c>
      <c r="J497" s="68">
        <v>0</v>
      </c>
      <c r="K497" s="68">
        <v>0</v>
      </c>
      <c r="L497" s="68">
        <v>0</v>
      </c>
      <c r="M497" s="68">
        <v>6400</v>
      </c>
      <c r="N497" s="68">
        <v>0</v>
      </c>
      <c r="O497" s="68">
        <v>0</v>
      </c>
      <c r="P497" s="68">
        <v>0</v>
      </c>
      <c r="Q497" s="68">
        <f>SUM(E497:P497)</f>
        <v>6400</v>
      </c>
      <c r="R497" s="65"/>
    </row>
    <row r="498" spans="1:18" s="66" customFormat="1">
      <c r="A498" s="67">
        <v>497</v>
      </c>
      <c r="B498" s="78" t="s">
        <v>904</v>
      </c>
      <c r="C498" s="79" t="s">
        <v>905</v>
      </c>
      <c r="D498" s="79" t="s">
        <v>30</v>
      </c>
      <c r="E498" s="68">
        <v>0</v>
      </c>
      <c r="F498" s="68">
        <v>0</v>
      </c>
      <c r="G498" s="68">
        <v>0</v>
      </c>
      <c r="H498" s="68">
        <v>0</v>
      </c>
      <c r="I498" s="68">
        <v>41250</v>
      </c>
      <c r="J498" s="68">
        <v>24750</v>
      </c>
      <c r="K498" s="68">
        <v>24750</v>
      </c>
      <c r="L498" s="68">
        <v>0</v>
      </c>
      <c r="M498" s="68">
        <v>0</v>
      </c>
      <c r="N498" s="68">
        <v>0</v>
      </c>
      <c r="O498" s="68">
        <v>0</v>
      </c>
      <c r="P498" s="68">
        <v>0</v>
      </c>
      <c r="Q498" s="68">
        <f>SUM(E498:P498)</f>
        <v>90750</v>
      </c>
      <c r="R498" s="65"/>
    </row>
    <row r="499" spans="1:18" s="66" customFormat="1">
      <c r="A499" s="67">
        <v>498</v>
      </c>
      <c r="B499" s="78" t="s">
        <v>906</v>
      </c>
      <c r="C499" s="79" t="s">
        <v>23</v>
      </c>
      <c r="D499" s="79" t="s">
        <v>30</v>
      </c>
      <c r="E499" s="68">
        <v>0</v>
      </c>
      <c r="F499" s="68">
        <v>0</v>
      </c>
      <c r="G499" s="68">
        <v>2071.5</v>
      </c>
      <c r="H499" s="68">
        <v>0</v>
      </c>
      <c r="I499" s="68">
        <v>0</v>
      </c>
      <c r="J499" s="68">
        <v>0</v>
      </c>
      <c r="K499" s="68">
        <v>0</v>
      </c>
      <c r="L499" s="68">
        <v>0</v>
      </c>
      <c r="M499" s="68">
        <v>0</v>
      </c>
      <c r="N499" s="68">
        <v>0</v>
      </c>
      <c r="O499" s="68">
        <v>0</v>
      </c>
      <c r="P499" s="68">
        <v>0</v>
      </c>
      <c r="Q499" s="68">
        <f>SUM(E499:P499)</f>
        <v>2071.5</v>
      </c>
      <c r="R499" s="65"/>
    </row>
    <row r="500" spans="1:18" s="66" customFormat="1">
      <c r="A500" s="67">
        <v>499</v>
      </c>
      <c r="B500" s="78" t="s">
        <v>907</v>
      </c>
      <c r="C500" s="79" t="s">
        <v>23</v>
      </c>
      <c r="D500" s="79" t="s">
        <v>30</v>
      </c>
      <c r="E500" s="68">
        <v>0</v>
      </c>
      <c r="F500" s="68">
        <v>0</v>
      </c>
      <c r="G500" s="68">
        <v>0</v>
      </c>
      <c r="H500" s="68">
        <v>0</v>
      </c>
      <c r="I500" s="68">
        <v>0</v>
      </c>
      <c r="J500" s="68">
        <v>0</v>
      </c>
      <c r="K500" s="68">
        <v>0</v>
      </c>
      <c r="L500" s="68">
        <v>0</v>
      </c>
      <c r="M500" s="68">
        <v>0</v>
      </c>
      <c r="N500" s="68">
        <v>0</v>
      </c>
      <c r="O500" s="68">
        <v>2500</v>
      </c>
      <c r="P500" s="68">
        <v>0</v>
      </c>
      <c r="Q500" s="68">
        <f>SUM(E500:P500)</f>
        <v>2500</v>
      </c>
      <c r="R500" s="65"/>
    </row>
    <row r="501" spans="1:18" s="66" customFormat="1">
      <c r="A501" s="67">
        <v>500</v>
      </c>
      <c r="B501" s="78" t="s">
        <v>908</v>
      </c>
      <c r="C501" s="79" t="s">
        <v>909</v>
      </c>
      <c r="D501" s="79" t="s">
        <v>19</v>
      </c>
      <c r="E501" s="68">
        <v>14500</v>
      </c>
      <c r="F501" s="68">
        <v>0</v>
      </c>
      <c r="G501" s="68">
        <v>0</v>
      </c>
      <c r="H501" s="68">
        <v>0</v>
      </c>
      <c r="I501" s="68">
        <v>0</v>
      </c>
      <c r="J501" s="68">
        <v>0</v>
      </c>
      <c r="K501" s="68">
        <v>0</v>
      </c>
      <c r="L501" s="68">
        <v>0</v>
      </c>
      <c r="M501" s="68">
        <v>0</v>
      </c>
      <c r="N501" s="68">
        <v>0</v>
      </c>
      <c r="O501" s="68">
        <v>0</v>
      </c>
      <c r="P501" s="68">
        <v>0</v>
      </c>
      <c r="Q501" s="68">
        <f>SUM(E501:P501)</f>
        <v>14500</v>
      </c>
      <c r="R501" s="65"/>
    </row>
    <row r="502" spans="1:18" s="66" customFormat="1">
      <c r="A502" s="71">
        <v>501</v>
      </c>
      <c r="B502" s="82" t="s">
        <v>910</v>
      </c>
      <c r="C502" s="83" t="s">
        <v>911</v>
      </c>
      <c r="D502" s="83" t="s">
        <v>19</v>
      </c>
      <c r="E502" s="72">
        <v>3024</v>
      </c>
      <c r="F502" s="72">
        <v>4350</v>
      </c>
      <c r="G502" s="72">
        <v>0</v>
      </c>
      <c r="H502" s="72">
        <v>10200</v>
      </c>
      <c r="I502" s="72">
        <v>4800</v>
      </c>
      <c r="J502" s="72">
        <v>7800</v>
      </c>
      <c r="K502" s="72">
        <v>0</v>
      </c>
      <c r="L502" s="72">
        <v>0</v>
      </c>
      <c r="M502" s="72">
        <v>3000</v>
      </c>
      <c r="N502" s="72">
        <v>0</v>
      </c>
      <c r="O502" s="72">
        <v>0</v>
      </c>
      <c r="P502" s="72">
        <v>0</v>
      </c>
      <c r="Q502" s="72">
        <f>SUM(E502:P502)</f>
        <v>33174</v>
      </c>
      <c r="R502" s="65"/>
    </row>
    <row r="503" spans="1:18">
      <c r="A503" s="73"/>
      <c r="B503" s="73"/>
      <c r="C503" s="74"/>
      <c r="D503" s="74"/>
      <c r="E503" s="75">
        <f>SUM(E2:E502)</f>
        <v>3571698.5</v>
      </c>
      <c r="F503" s="75">
        <f>SUM(F2:F502)</f>
        <v>2359357.56</v>
      </c>
      <c r="G503" s="75">
        <f>SUM(G2:G502)</f>
        <v>2548961.9500000002</v>
      </c>
      <c r="H503" s="75">
        <f>SUM(H2:H502)</f>
        <v>8181224.8200000003</v>
      </c>
      <c r="I503" s="75">
        <f>SUM(I2:I502)</f>
        <v>3280920.05</v>
      </c>
      <c r="J503" s="75">
        <f>SUM(J2:J502)</f>
        <v>4093631.2600000002</v>
      </c>
      <c r="K503" s="75">
        <f>SUM(K2:K502)</f>
        <v>3257691.13</v>
      </c>
      <c r="L503" s="75">
        <f>SUM(L2:L502)</f>
        <v>7290088.0600000005</v>
      </c>
      <c r="M503" s="75">
        <f>SUM(M2:M502)</f>
        <v>4149543.85</v>
      </c>
      <c r="N503" s="75">
        <f>SUM(N2:N502)</f>
        <v>4204162.7</v>
      </c>
      <c r="O503" s="75">
        <f>SUM(O2:O502)</f>
        <v>5796014.25</v>
      </c>
      <c r="P503" s="75">
        <f>SUM(P2:P502)</f>
        <v>10617865.279999999</v>
      </c>
      <c r="Q503" s="75">
        <f>SUM(Q2:Q502)</f>
        <v>59351159.410000004</v>
      </c>
    </row>
  </sheetData>
  <autoFilter ref="A1:R1" xr:uid="{A56E73B7-71AE-BE4D-9869-633456773C3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8"/>
  <sheetViews>
    <sheetView topLeftCell="A87" workbookViewId="0">
      <selection activeCell="B109" sqref="B109"/>
    </sheetView>
  </sheetViews>
  <sheetFormatPr defaultColWidth="8.85546875" defaultRowHeight="15"/>
  <cols>
    <col min="1" max="1" width="14.85546875" style="33" customWidth="1"/>
    <col min="2" max="2" width="52.140625" bestFit="1" customWidth="1"/>
    <col min="3" max="3" width="18.85546875" style="35" customWidth="1"/>
    <col min="4" max="4" width="12.42578125" customWidth="1"/>
  </cols>
  <sheetData>
    <row r="1" spans="1:5" s="31" customFormat="1" ht="15.75">
      <c r="A1" s="84" t="s">
        <v>912</v>
      </c>
      <c r="B1" s="84"/>
      <c r="C1" s="12"/>
      <c r="D1" s="55"/>
      <c r="E1" s="30"/>
    </row>
    <row r="2" spans="1:5">
      <c r="A2" s="85" t="s">
        <v>913</v>
      </c>
      <c r="B2" s="85"/>
      <c r="C2" s="12"/>
      <c r="D2" s="56"/>
      <c r="E2" s="2"/>
    </row>
    <row r="3" spans="1:5">
      <c r="A3" s="14" t="s">
        <v>914</v>
      </c>
      <c r="B3" s="15" t="s">
        <v>1</v>
      </c>
      <c r="C3" s="14" t="s">
        <v>2</v>
      </c>
      <c r="D3" s="14" t="s">
        <v>915</v>
      </c>
      <c r="E3" s="2"/>
    </row>
    <row r="4" spans="1:5" s="36" customFormat="1">
      <c r="A4" s="37">
        <v>45758</v>
      </c>
      <c r="B4" s="57" t="s">
        <v>24</v>
      </c>
      <c r="C4" s="38" t="s">
        <v>25</v>
      </c>
      <c r="D4" s="38">
        <v>97090</v>
      </c>
      <c r="E4" s="39"/>
    </row>
    <row r="5" spans="1:5" s="36" customFormat="1">
      <c r="A5" s="37">
        <v>45754</v>
      </c>
      <c r="B5" s="91" t="s">
        <v>37</v>
      </c>
      <c r="C5" s="86" t="s">
        <v>38</v>
      </c>
      <c r="D5" s="86">
        <v>23313</v>
      </c>
      <c r="E5" s="39"/>
    </row>
    <row r="6" spans="1:5" s="36" customFormat="1">
      <c r="A6" s="37">
        <v>45761</v>
      </c>
      <c r="B6" s="92"/>
      <c r="C6" s="88"/>
      <c r="D6" s="88"/>
      <c r="E6" s="39"/>
    </row>
    <row r="7" spans="1:5" s="36" customFormat="1">
      <c r="A7" s="37">
        <v>45750</v>
      </c>
      <c r="B7" s="57" t="s">
        <v>46</v>
      </c>
      <c r="C7" s="38"/>
      <c r="D7" s="38">
        <v>2567</v>
      </c>
      <c r="E7" s="39"/>
    </row>
    <row r="8" spans="1:5" s="36" customFormat="1">
      <c r="A8" s="37">
        <v>45748</v>
      </c>
      <c r="B8" s="91" t="s">
        <v>50</v>
      </c>
      <c r="C8" s="86" t="s">
        <v>51</v>
      </c>
      <c r="D8" s="86">
        <v>205979</v>
      </c>
      <c r="E8" s="39"/>
    </row>
    <row r="9" spans="1:5" s="36" customFormat="1">
      <c r="A9" s="37">
        <v>45749</v>
      </c>
      <c r="B9" s="93"/>
      <c r="C9" s="87"/>
      <c r="D9" s="87"/>
      <c r="E9" s="39"/>
    </row>
    <row r="10" spans="1:5" s="36" customFormat="1">
      <c r="A10" s="37">
        <v>45759</v>
      </c>
      <c r="B10" s="93"/>
      <c r="C10" s="87"/>
      <c r="D10" s="87"/>
      <c r="E10" s="39"/>
    </row>
    <row r="11" spans="1:5" s="36" customFormat="1">
      <c r="A11" s="37">
        <v>45770</v>
      </c>
      <c r="B11" s="92"/>
      <c r="C11" s="88"/>
      <c r="D11" s="88"/>
      <c r="E11" s="39"/>
    </row>
    <row r="12" spans="1:5" s="36" customFormat="1">
      <c r="A12" s="37">
        <v>45756</v>
      </c>
      <c r="B12" s="57" t="s">
        <v>67</v>
      </c>
      <c r="C12" s="38" t="s">
        <v>68</v>
      </c>
      <c r="D12" s="38">
        <v>12475</v>
      </c>
      <c r="E12" s="39"/>
    </row>
    <row r="13" spans="1:5" s="36" customFormat="1">
      <c r="A13" s="37">
        <v>45752</v>
      </c>
      <c r="B13" s="57" t="s">
        <v>86</v>
      </c>
      <c r="C13" s="38" t="s">
        <v>87</v>
      </c>
      <c r="D13" s="38">
        <v>19234</v>
      </c>
      <c r="E13" s="39"/>
    </row>
    <row r="14" spans="1:5" s="36" customFormat="1">
      <c r="A14" s="37">
        <v>45757</v>
      </c>
      <c r="B14" s="91" t="s">
        <v>98</v>
      </c>
      <c r="C14" s="86" t="s">
        <v>99</v>
      </c>
      <c r="D14" s="86">
        <v>13440</v>
      </c>
      <c r="E14" s="39"/>
    </row>
    <row r="15" spans="1:5" s="36" customFormat="1">
      <c r="A15" s="37">
        <v>45771</v>
      </c>
      <c r="B15" s="92"/>
      <c r="C15" s="88"/>
      <c r="D15" s="88"/>
      <c r="E15" s="39"/>
    </row>
    <row r="16" spans="1:5" s="36" customFormat="1">
      <c r="A16" s="37">
        <v>45765</v>
      </c>
      <c r="B16" s="57" t="s">
        <v>916</v>
      </c>
      <c r="C16" s="38" t="s">
        <v>109</v>
      </c>
      <c r="D16" s="38">
        <v>56813</v>
      </c>
      <c r="E16" s="39"/>
    </row>
    <row r="17" spans="1:5" s="36" customFormat="1">
      <c r="A17" s="37">
        <v>45758</v>
      </c>
      <c r="B17" s="57" t="s">
        <v>917</v>
      </c>
      <c r="C17" s="38" t="s">
        <v>121</v>
      </c>
      <c r="D17" s="38">
        <v>23520</v>
      </c>
      <c r="E17" s="39"/>
    </row>
    <row r="18" spans="1:5" s="36" customFormat="1">
      <c r="A18" s="37">
        <v>45754</v>
      </c>
      <c r="B18" s="91" t="s">
        <v>140</v>
      </c>
      <c r="C18" s="86" t="s">
        <v>141</v>
      </c>
      <c r="D18" s="86">
        <v>7616</v>
      </c>
      <c r="E18" s="39"/>
    </row>
    <row r="19" spans="1:5" s="36" customFormat="1">
      <c r="A19" s="37">
        <v>45759</v>
      </c>
      <c r="B19" s="93"/>
      <c r="C19" s="87"/>
      <c r="D19" s="87"/>
      <c r="E19" s="39"/>
    </row>
    <row r="20" spans="1:5" s="36" customFormat="1">
      <c r="A20" s="37">
        <v>45769</v>
      </c>
      <c r="B20" s="92"/>
      <c r="C20" s="88"/>
      <c r="D20" s="88"/>
      <c r="E20" s="39"/>
    </row>
    <row r="21" spans="1:5" s="36" customFormat="1">
      <c r="A21" s="37">
        <v>45752</v>
      </c>
      <c r="B21" s="57" t="s">
        <v>142</v>
      </c>
      <c r="C21" s="38" t="s">
        <v>143</v>
      </c>
      <c r="D21" s="38">
        <v>1831</v>
      </c>
      <c r="E21" s="39"/>
    </row>
    <row r="22" spans="1:5" s="36" customFormat="1">
      <c r="A22" s="37">
        <v>45761</v>
      </c>
      <c r="B22" s="91" t="s">
        <v>145</v>
      </c>
      <c r="C22" s="86" t="s">
        <v>146</v>
      </c>
      <c r="D22" s="86">
        <v>162120</v>
      </c>
      <c r="E22" s="39"/>
    </row>
    <row r="23" spans="1:5" s="36" customFormat="1">
      <c r="A23" s="37">
        <v>45764</v>
      </c>
      <c r="B23" s="92"/>
      <c r="C23" s="88"/>
      <c r="D23" s="88"/>
      <c r="E23" s="39"/>
    </row>
    <row r="24" spans="1:5" s="36" customFormat="1">
      <c r="A24" s="37">
        <v>45763</v>
      </c>
      <c r="B24" s="57" t="s">
        <v>166</v>
      </c>
      <c r="C24" s="38"/>
      <c r="D24" s="38">
        <v>5488</v>
      </c>
      <c r="E24" s="39"/>
    </row>
    <row r="25" spans="1:5" s="36" customFormat="1">
      <c r="A25" s="37">
        <v>45761</v>
      </c>
      <c r="B25" s="57" t="s">
        <v>173</v>
      </c>
      <c r="C25" s="38"/>
      <c r="D25" s="38">
        <v>6372</v>
      </c>
      <c r="E25" s="39"/>
    </row>
    <row r="26" spans="1:5" s="36" customFormat="1">
      <c r="A26" s="37">
        <v>45773</v>
      </c>
      <c r="B26" s="57" t="s">
        <v>174</v>
      </c>
      <c r="C26" s="38"/>
      <c r="D26" s="38">
        <v>3000</v>
      </c>
      <c r="E26" s="39"/>
    </row>
    <row r="27" spans="1:5" s="36" customFormat="1">
      <c r="A27" s="37">
        <v>45766</v>
      </c>
      <c r="B27" s="57" t="s">
        <v>200</v>
      </c>
      <c r="C27" s="38" t="s">
        <v>201</v>
      </c>
      <c r="D27" s="38">
        <v>4704</v>
      </c>
      <c r="E27" s="39"/>
    </row>
    <row r="28" spans="1:5" s="36" customFormat="1">
      <c r="A28" s="37">
        <v>45749</v>
      </c>
      <c r="B28" s="57" t="s">
        <v>204</v>
      </c>
      <c r="C28" s="38"/>
      <c r="D28" s="38">
        <v>21506</v>
      </c>
      <c r="E28" s="39"/>
    </row>
    <row r="29" spans="1:5" s="36" customFormat="1">
      <c r="A29" s="37">
        <v>45771</v>
      </c>
      <c r="B29" s="91" t="s">
        <v>215</v>
      </c>
      <c r="C29" s="86" t="s">
        <v>216</v>
      </c>
      <c r="D29" s="86">
        <v>19214</v>
      </c>
      <c r="E29" s="39"/>
    </row>
    <row r="30" spans="1:5" s="36" customFormat="1">
      <c r="A30" s="37">
        <v>45773</v>
      </c>
      <c r="B30" s="92"/>
      <c r="C30" s="88"/>
      <c r="D30" s="88"/>
      <c r="E30" s="39"/>
    </row>
    <row r="31" spans="1:5" s="36" customFormat="1">
      <c r="A31" s="37">
        <v>45762</v>
      </c>
      <c r="B31" s="57" t="s">
        <v>232</v>
      </c>
      <c r="C31" s="38" t="s">
        <v>233</v>
      </c>
      <c r="D31" s="38">
        <v>19964</v>
      </c>
      <c r="E31" s="39"/>
    </row>
    <row r="32" spans="1:5" s="36" customFormat="1">
      <c r="A32" s="37">
        <v>45756</v>
      </c>
      <c r="B32" s="57" t="s">
        <v>234</v>
      </c>
      <c r="C32" s="38" t="s">
        <v>235</v>
      </c>
      <c r="D32" s="38">
        <v>4704</v>
      </c>
      <c r="E32" s="39"/>
    </row>
    <row r="33" spans="1:5" s="36" customFormat="1">
      <c r="A33" s="37">
        <v>45771</v>
      </c>
      <c r="B33" s="57" t="s">
        <v>241</v>
      </c>
      <c r="C33" s="38" t="s">
        <v>242</v>
      </c>
      <c r="D33" s="38">
        <v>2067</v>
      </c>
      <c r="E33" s="39"/>
    </row>
    <row r="34" spans="1:5" s="36" customFormat="1">
      <c r="A34" s="37">
        <v>45769</v>
      </c>
      <c r="B34" s="57" t="s">
        <v>245</v>
      </c>
      <c r="C34" s="38" t="s">
        <v>246</v>
      </c>
      <c r="D34" s="38">
        <v>2650</v>
      </c>
      <c r="E34" s="39"/>
    </row>
    <row r="35" spans="1:5" s="36" customFormat="1">
      <c r="A35" s="37">
        <v>45759</v>
      </c>
      <c r="B35" s="57" t="s">
        <v>253</v>
      </c>
      <c r="C35" s="38" t="s">
        <v>254</v>
      </c>
      <c r="D35" s="38">
        <v>12400</v>
      </c>
      <c r="E35" s="39"/>
    </row>
    <row r="36" spans="1:5" s="36" customFormat="1">
      <c r="A36" s="37">
        <v>45748</v>
      </c>
      <c r="B36" s="91" t="s">
        <v>273</v>
      </c>
      <c r="C36" s="86" t="s">
        <v>274</v>
      </c>
      <c r="D36" s="86">
        <v>476895</v>
      </c>
      <c r="E36" s="39"/>
    </row>
    <row r="37" spans="1:5" s="36" customFormat="1">
      <c r="A37" s="37">
        <v>45755</v>
      </c>
      <c r="B37" s="93"/>
      <c r="C37" s="87"/>
      <c r="D37" s="87"/>
      <c r="E37" s="39"/>
    </row>
    <row r="38" spans="1:5" s="36" customFormat="1">
      <c r="A38" s="37">
        <v>45764</v>
      </c>
      <c r="B38" s="93"/>
      <c r="C38" s="87"/>
      <c r="D38" s="87"/>
      <c r="E38" s="39"/>
    </row>
    <row r="39" spans="1:5" s="36" customFormat="1">
      <c r="A39" s="37">
        <v>45769</v>
      </c>
      <c r="B39" s="92"/>
      <c r="C39" s="88"/>
      <c r="D39" s="88"/>
      <c r="E39" s="39"/>
    </row>
    <row r="40" spans="1:5" s="36" customFormat="1">
      <c r="A40" s="37">
        <v>45771</v>
      </c>
      <c r="B40" s="57" t="s">
        <v>275</v>
      </c>
      <c r="C40" s="38" t="s">
        <v>276</v>
      </c>
      <c r="D40" s="38">
        <v>4391</v>
      </c>
      <c r="E40" s="39"/>
    </row>
    <row r="41" spans="1:5" s="36" customFormat="1">
      <c r="A41" s="37">
        <v>45763</v>
      </c>
      <c r="B41" s="57" t="s">
        <v>280</v>
      </c>
      <c r="C41" s="38" t="s">
        <v>281</v>
      </c>
      <c r="D41" s="38">
        <v>27375</v>
      </c>
      <c r="E41" s="39"/>
    </row>
    <row r="42" spans="1:5" s="36" customFormat="1">
      <c r="A42" s="37">
        <v>45765</v>
      </c>
      <c r="B42" s="57" t="s">
        <v>288</v>
      </c>
      <c r="C42" s="38" t="s">
        <v>289</v>
      </c>
      <c r="D42" s="38">
        <v>20318</v>
      </c>
      <c r="E42" s="39"/>
    </row>
    <row r="43" spans="1:5" s="36" customFormat="1">
      <c r="A43" s="37">
        <v>45769</v>
      </c>
      <c r="B43" s="57" t="s">
        <v>316</v>
      </c>
      <c r="C43" s="38" t="s">
        <v>317</v>
      </c>
      <c r="D43" s="38">
        <v>8900</v>
      </c>
      <c r="E43" s="39"/>
    </row>
    <row r="44" spans="1:5" s="36" customFormat="1">
      <c r="A44" s="37">
        <v>45757</v>
      </c>
      <c r="B44" s="57" t="s">
        <v>326</v>
      </c>
      <c r="C44" s="38" t="s">
        <v>327</v>
      </c>
      <c r="D44" s="38">
        <v>16574</v>
      </c>
      <c r="E44" s="39"/>
    </row>
    <row r="45" spans="1:5" s="36" customFormat="1">
      <c r="A45" s="37">
        <v>45748</v>
      </c>
      <c r="B45" s="57" t="s">
        <v>351</v>
      </c>
      <c r="C45" s="38" t="s">
        <v>352</v>
      </c>
      <c r="D45" s="38">
        <v>34724</v>
      </c>
      <c r="E45" s="39"/>
    </row>
    <row r="46" spans="1:5" s="36" customFormat="1">
      <c r="A46" s="37">
        <v>45749</v>
      </c>
      <c r="B46" s="91" t="s">
        <v>353</v>
      </c>
      <c r="C46" s="86" t="s">
        <v>354</v>
      </c>
      <c r="D46" s="86">
        <v>30567</v>
      </c>
      <c r="E46" s="39"/>
    </row>
    <row r="47" spans="1:5" s="36" customFormat="1">
      <c r="A47" s="37">
        <v>45758</v>
      </c>
      <c r="B47" s="93"/>
      <c r="C47" s="87"/>
      <c r="D47" s="87"/>
      <c r="E47" s="39"/>
    </row>
    <row r="48" spans="1:5" s="36" customFormat="1">
      <c r="A48" s="37">
        <v>45762</v>
      </c>
      <c r="B48" s="92"/>
      <c r="C48" s="88"/>
      <c r="D48" s="88"/>
      <c r="E48" s="39"/>
    </row>
    <row r="49" spans="1:5" s="36" customFormat="1">
      <c r="A49" s="37">
        <v>45756</v>
      </c>
      <c r="B49" s="57" t="s">
        <v>355</v>
      </c>
      <c r="C49" s="38" t="s">
        <v>356</v>
      </c>
      <c r="D49" s="38">
        <v>1360</v>
      </c>
      <c r="E49" s="39"/>
    </row>
    <row r="50" spans="1:5" s="36" customFormat="1">
      <c r="A50" s="37">
        <v>45762</v>
      </c>
      <c r="B50" s="57" t="s">
        <v>370</v>
      </c>
      <c r="C50" s="38" t="s">
        <v>371</v>
      </c>
      <c r="D50" s="38">
        <v>11760</v>
      </c>
      <c r="E50" s="39"/>
    </row>
    <row r="51" spans="1:5" s="36" customFormat="1">
      <c r="A51" s="37">
        <v>45748</v>
      </c>
      <c r="B51" s="57" t="s">
        <v>382</v>
      </c>
      <c r="C51" s="38"/>
      <c r="D51" s="38">
        <v>2655</v>
      </c>
      <c r="E51" s="39"/>
    </row>
    <row r="52" spans="1:5" s="36" customFormat="1">
      <c r="A52" s="37">
        <v>45762</v>
      </c>
      <c r="B52" s="57" t="s">
        <v>402</v>
      </c>
      <c r="C52" s="38" t="s">
        <v>403</v>
      </c>
      <c r="D52" s="38">
        <v>1602</v>
      </c>
      <c r="E52" s="39"/>
    </row>
    <row r="53" spans="1:5" s="36" customFormat="1">
      <c r="A53" s="37">
        <v>45769</v>
      </c>
      <c r="B53" s="57" t="s">
        <v>410</v>
      </c>
      <c r="C53" s="38" t="s">
        <v>411</v>
      </c>
      <c r="D53" s="38">
        <v>4095</v>
      </c>
      <c r="E53" s="39"/>
    </row>
    <row r="54" spans="1:5" s="36" customFormat="1">
      <c r="A54" s="37">
        <v>45754</v>
      </c>
      <c r="B54" s="91" t="s">
        <v>418</v>
      </c>
      <c r="C54" s="86"/>
      <c r="D54" s="89">
        <v>30230</v>
      </c>
      <c r="E54" s="39"/>
    </row>
    <row r="55" spans="1:5" s="36" customFormat="1">
      <c r="A55" s="37">
        <v>45757</v>
      </c>
      <c r="B55" s="92"/>
      <c r="C55" s="88"/>
      <c r="D55" s="90"/>
      <c r="E55" s="39"/>
    </row>
    <row r="56" spans="1:5" s="36" customFormat="1">
      <c r="A56" s="37">
        <v>45755</v>
      </c>
      <c r="B56" s="57" t="s">
        <v>427</v>
      </c>
      <c r="C56" s="38" t="s">
        <v>428</v>
      </c>
      <c r="D56" s="38">
        <v>55335</v>
      </c>
      <c r="E56" s="39"/>
    </row>
    <row r="57" spans="1:5" s="36" customFormat="1">
      <c r="A57" s="37">
        <v>45754</v>
      </c>
      <c r="B57" s="91" t="s">
        <v>440</v>
      </c>
      <c r="C57" s="86" t="s">
        <v>441</v>
      </c>
      <c r="D57" s="86">
        <v>15300</v>
      </c>
      <c r="E57" s="39"/>
    </row>
    <row r="58" spans="1:5" s="36" customFormat="1">
      <c r="A58" s="37">
        <v>45759</v>
      </c>
      <c r="B58" s="93"/>
      <c r="C58" s="87"/>
      <c r="D58" s="87"/>
      <c r="E58" s="39"/>
    </row>
    <row r="59" spans="1:5" s="36" customFormat="1">
      <c r="A59" s="37">
        <v>45759</v>
      </c>
      <c r="B59" s="92"/>
      <c r="C59" s="88"/>
      <c r="D59" s="88"/>
      <c r="E59" s="39"/>
    </row>
    <row r="60" spans="1:5" s="36" customFormat="1">
      <c r="A60" s="37">
        <v>45756</v>
      </c>
      <c r="B60" s="57" t="s">
        <v>442</v>
      </c>
      <c r="C60" s="38" t="s">
        <v>443</v>
      </c>
      <c r="D60" s="38">
        <v>281344</v>
      </c>
      <c r="E60" s="39"/>
    </row>
    <row r="61" spans="1:5" s="36" customFormat="1">
      <c r="A61" s="37">
        <v>45765</v>
      </c>
      <c r="B61" s="57" t="s">
        <v>456</v>
      </c>
      <c r="C61" s="38" t="s">
        <v>457</v>
      </c>
      <c r="D61" s="38">
        <v>6063</v>
      </c>
      <c r="E61" s="39"/>
    </row>
    <row r="62" spans="1:5" s="36" customFormat="1">
      <c r="A62" s="37">
        <v>45777</v>
      </c>
      <c r="B62" s="57" t="s">
        <v>458</v>
      </c>
      <c r="C62" s="38" t="s">
        <v>459</v>
      </c>
      <c r="D62" s="38">
        <v>24025</v>
      </c>
      <c r="E62" s="39"/>
    </row>
    <row r="63" spans="1:5" s="36" customFormat="1">
      <c r="A63" s="37">
        <v>45749</v>
      </c>
      <c r="B63" s="91" t="s">
        <v>464</v>
      </c>
      <c r="C63" s="86" t="s">
        <v>465</v>
      </c>
      <c r="D63" s="86">
        <v>70450</v>
      </c>
      <c r="E63" s="39"/>
    </row>
    <row r="64" spans="1:5" s="36" customFormat="1">
      <c r="A64" s="37">
        <v>45750</v>
      </c>
      <c r="B64" s="93"/>
      <c r="C64" s="87"/>
      <c r="D64" s="87"/>
      <c r="E64" s="39"/>
    </row>
    <row r="65" spans="1:5" s="36" customFormat="1">
      <c r="A65" s="37">
        <v>45751</v>
      </c>
      <c r="B65" s="93"/>
      <c r="C65" s="87"/>
      <c r="D65" s="87"/>
      <c r="E65" s="39"/>
    </row>
    <row r="66" spans="1:5" s="36" customFormat="1">
      <c r="A66" s="37">
        <v>45756</v>
      </c>
      <c r="B66" s="93"/>
      <c r="C66" s="87"/>
      <c r="D66" s="87"/>
      <c r="E66" s="39"/>
    </row>
    <row r="67" spans="1:5" s="36" customFormat="1">
      <c r="A67" s="37">
        <v>45759</v>
      </c>
      <c r="B67" s="93"/>
      <c r="C67" s="87"/>
      <c r="D67" s="87"/>
      <c r="E67" s="39"/>
    </row>
    <row r="68" spans="1:5" s="36" customFormat="1">
      <c r="A68" s="37">
        <v>45766</v>
      </c>
      <c r="B68" s="93"/>
      <c r="C68" s="87"/>
      <c r="D68" s="87"/>
      <c r="E68" s="39"/>
    </row>
    <row r="69" spans="1:5" s="36" customFormat="1">
      <c r="A69" s="37">
        <v>45771</v>
      </c>
      <c r="B69" s="92"/>
      <c r="C69" s="88"/>
      <c r="D69" s="88"/>
      <c r="E69" s="39"/>
    </row>
    <row r="70" spans="1:5" s="36" customFormat="1">
      <c r="A70" s="37">
        <v>45772</v>
      </c>
      <c r="B70" s="57" t="s">
        <v>466</v>
      </c>
      <c r="C70" s="38" t="s">
        <v>467</v>
      </c>
      <c r="D70" s="38">
        <v>4253</v>
      </c>
      <c r="E70" s="39"/>
    </row>
    <row r="71" spans="1:5" s="36" customFormat="1">
      <c r="A71" s="37">
        <v>45766</v>
      </c>
      <c r="B71" s="57" t="s">
        <v>477</v>
      </c>
      <c r="C71" s="38" t="s">
        <v>478</v>
      </c>
      <c r="D71" s="38">
        <v>25200</v>
      </c>
      <c r="E71" s="39"/>
    </row>
    <row r="72" spans="1:5" s="36" customFormat="1">
      <c r="A72" s="37">
        <v>45757</v>
      </c>
      <c r="B72" s="57" t="s">
        <v>497</v>
      </c>
      <c r="C72" s="38"/>
      <c r="D72" s="38">
        <v>1778</v>
      </c>
      <c r="E72" s="39"/>
    </row>
    <row r="73" spans="1:5" s="36" customFormat="1">
      <c r="A73" s="37">
        <v>45765</v>
      </c>
      <c r="B73" s="57" t="s">
        <v>505</v>
      </c>
      <c r="C73" s="38" t="s">
        <v>506</v>
      </c>
      <c r="D73" s="38">
        <v>12600</v>
      </c>
      <c r="E73" s="39"/>
    </row>
    <row r="74" spans="1:5" s="36" customFormat="1">
      <c r="A74" s="37">
        <v>45751</v>
      </c>
      <c r="B74" s="57" t="s">
        <v>521</v>
      </c>
      <c r="C74" s="38" t="s">
        <v>522</v>
      </c>
      <c r="D74" s="38">
        <v>6992</v>
      </c>
      <c r="E74" s="39"/>
    </row>
    <row r="75" spans="1:5" s="36" customFormat="1">
      <c r="A75" s="37">
        <v>45765</v>
      </c>
      <c r="B75" s="91" t="s">
        <v>524</v>
      </c>
      <c r="C75" s="86" t="s">
        <v>525</v>
      </c>
      <c r="D75" s="86">
        <v>66570</v>
      </c>
      <c r="E75" s="39"/>
    </row>
    <row r="76" spans="1:5" s="36" customFormat="1">
      <c r="A76" s="37">
        <v>45770</v>
      </c>
      <c r="B76" s="92"/>
      <c r="C76" s="88"/>
      <c r="D76" s="88"/>
      <c r="E76" s="39"/>
    </row>
    <row r="77" spans="1:5" s="36" customFormat="1">
      <c r="A77" s="37">
        <v>45754</v>
      </c>
      <c r="B77" s="91" t="s">
        <v>526</v>
      </c>
      <c r="C77" s="86" t="s">
        <v>527</v>
      </c>
      <c r="D77" s="86">
        <v>30923</v>
      </c>
      <c r="E77" s="39"/>
    </row>
    <row r="78" spans="1:5" s="36" customFormat="1">
      <c r="A78" s="37">
        <v>45773</v>
      </c>
      <c r="B78" s="92"/>
      <c r="C78" s="88"/>
      <c r="D78" s="88"/>
      <c r="E78" s="39"/>
    </row>
    <row r="79" spans="1:5" s="36" customFormat="1">
      <c r="A79" s="37">
        <v>45765</v>
      </c>
      <c r="B79" s="91" t="s">
        <v>538</v>
      </c>
      <c r="C79" s="86" t="s">
        <v>539</v>
      </c>
      <c r="D79" s="86">
        <v>3208</v>
      </c>
      <c r="E79" s="39"/>
    </row>
    <row r="80" spans="1:5" s="36" customFormat="1">
      <c r="A80" s="37">
        <v>45771</v>
      </c>
      <c r="B80" s="92"/>
      <c r="C80" s="88"/>
      <c r="D80" s="88"/>
      <c r="E80" s="39"/>
    </row>
    <row r="81" spans="1:5" s="36" customFormat="1">
      <c r="A81" s="37">
        <v>45761</v>
      </c>
      <c r="B81" s="57" t="s">
        <v>545</v>
      </c>
      <c r="C81" s="38" t="s">
        <v>546</v>
      </c>
      <c r="D81" s="38">
        <v>4928</v>
      </c>
      <c r="E81" s="39"/>
    </row>
    <row r="82" spans="1:5" s="36" customFormat="1">
      <c r="A82" s="37">
        <v>45771</v>
      </c>
      <c r="B82" s="57" t="s">
        <v>548</v>
      </c>
      <c r="C82" s="38" t="s">
        <v>549</v>
      </c>
      <c r="D82" s="38">
        <v>3150</v>
      </c>
      <c r="E82" s="39"/>
    </row>
    <row r="83" spans="1:5" s="36" customFormat="1">
      <c r="A83" s="37">
        <v>45749</v>
      </c>
      <c r="B83" s="91" t="s">
        <v>552</v>
      </c>
      <c r="C83" s="86" t="s">
        <v>553</v>
      </c>
      <c r="D83" s="86">
        <v>73360</v>
      </c>
      <c r="E83" s="39"/>
    </row>
    <row r="84" spans="1:5" s="36" customFormat="1">
      <c r="A84" s="37">
        <v>45763</v>
      </c>
      <c r="B84" s="92"/>
      <c r="C84" s="88"/>
      <c r="D84" s="88"/>
      <c r="E84" s="39"/>
    </row>
    <row r="85" spans="1:5" s="36" customFormat="1">
      <c r="A85" s="37">
        <v>45748</v>
      </c>
      <c r="B85" s="57" t="s">
        <v>555</v>
      </c>
      <c r="C85" s="38"/>
      <c r="D85" s="38">
        <v>7084</v>
      </c>
      <c r="E85" s="39"/>
    </row>
    <row r="86" spans="1:5" s="36" customFormat="1">
      <c r="A86" s="37">
        <v>45769</v>
      </c>
      <c r="B86" s="57" t="s">
        <v>556</v>
      </c>
      <c r="C86" s="38" t="s">
        <v>557</v>
      </c>
      <c r="D86" s="38">
        <v>13440</v>
      </c>
      <c r="E86" s="39"/>
    </row>
    <row r="87" spans="1:5" s="36" customFormat="1">
      <c r="A87" s="37">
        <v>45761</v>
      </c>
      <c r="B87" s="91" t="s">
        <v>558</v>
      </c>
      <c r="C87" s="86" t="s">
        <v>559</v>
      </c>
      <c r="D87" s="86">
        <v>5264</v>
      </c>
      <c r="E87" s="39"/>
    </row>
    <row r="88" spans="1:5" s="36" customFormat="1">
      <c r="A88" s="37">
        <v>45763</v>
      </c>
      <c r="B88" s="93"/>
      <c r="C88" s="87"/>
      <c r="D88" s="87"/>
      <c r="E88" s="39"/>
    </row>
    <row r="89" spans="1:5" s="36" customFormat="1">
      <c r="A89" s="37">
        <v>45771</v>
      </c>
      <c r="B89" s="92"/>
      <c r="C89" s="88"/>
      <c r="D89" s="88"/>
      <c r="E89" s="39"/>
    </row>
    <row r="90" spans="1:5" s="36" customFormat="1">
      <c r="A90" s="37">
        <v>45759</v>
      </c>
      <c r="B90" s="57" t="s">
        <v>572</v>
      </c>
      <c r="C90" s="38" t="s">
        <v>573</v>
      </c>
      <c r="D90" s="38">
        <v>50500</v>
      </c>
      <c r="E90" s="39"/>
    </row>
    <row r="91" spans="1:5" s="36" customFormat="1">
      <c r="A91" s="37">
        <v>45755</v>
      </c>
      <c r="B91" s="91" t="s">
        <v>574</v>
      </c>
      <c r="C91" s="86" t="s">
        <v>575</v>
      </c>
      <c r="D91" s="86">
        <v>56994</v>
      </c>
      <c r="E91" s="39"/>
    </row>
    <row r="92" spans="1:5" s="36" customFormat="1">
      <c r="A92" s="37">
        <v>45773</v>
      </c>
      <c r="B92" s="92"/>
      <c r="C92" s="88"/>
      <c r="D92" s="88"/>
      <c r="E92" s="39"/>
    </row>
    <row r="93" spans="1:5" s="36" customFormat="1">
      <c r="A93" s="37">
        <v>45769</v>
      </c>
      <c r="B93" s="91" t="s">
        <v>596</v>
      </c>
      <c r="C93" s="86" t="s">
        <v>597</v>
      </c>
      <c r="D93" s="86">
        <v>33741</v>
      </c>
      <c r="E93" s="39"/>
    </row>
    <row r="94" spans="1:5" s="36" customFormat="1">
      <c r="A94" s="37">
        <v>45770</v>
      </c>
      <c r="B94" s="92"/>
      <c r="C94" s="88"/>
      <c r="D94" s="88"/>
      <c r="E94" s="39"/>
    </row>
    <row r="95" spans="1:5" s="36" customFormat="1">
      <c r="A95" s="37">
        <v>45776</v>
      </c>
      <c r="B95" s="57" t="s">
        <v>602</v>
      </c>
      <c r="C95" s="38" t="s">
        <v>603</v>
      </c>
      <c r="D95" s="38">
        <v>750</v>
      </c>
      <c r="E95" s="39"/>
    </row>
    <row r="96" spans="1:5" s="36" customFormat="1">
      <c r="A96" s="37">
        <v>45758</v>
      </c>
      <c r="B96" s="57" t="s">
        <v>623</v>
      </c>
      <c r="C96" s="38" t="s">
        <v>624</v>
      </c>
      <c r="D96" s="38">
        <v>104160</v>
      </c>
      <c r="E96" s="39"/>
    </row>
    <row r="97" spans="1:5" s="36" customFormat="1">
      <c r="A97" s="37">
        <v>45751</v>
      </c>
      <c r="B97" s="91" t="s">
        <v>627</v>
      </c>
      <c r="C97" s="86" t="s">
        <v>628</v>
      </c>
      <c r="D97" s="86">
        <v>4800</v>
      </c>
      <c r="E97" s="39"/>
    </row>
    <row r="98" spans="1:5" s="36" customFormat="1">
      <c r="A98" s="37">
        <v>45766</v>
      </c>
      <c r="B98" s="92"/>
      <c r="C98" s="88"/>
      <c r="D98" s="88"/>
      <c r="E98" s="39"/>
    </row>
    <row r="99" spans="1:5" s="36" customFormat="1">
      <c r="A99" s="37">
        <v>45762</v>
      </c>
      <c r="B99" s="57" t="s">
        <v>631</v>
      </c>
      <c r="C99" s="38"/>
      <c r="D99" s="38">
        <v>2500</v>
      </c>
      <c r="E99" s="39"/>
    </row>
    <row r="100" spans="1:5" s="36" customFormat="1">
      <c r="A100" s="37">
        <v>45762</v>
      </c>
      <c r="B100" s="57" t="s">
        <v>639</v>
      </c>
      <c r="C100" s="38"/>
      <c r="D100" s="38">
        <v>472</v>
      </c>
      <c r="E100" s="39"/>
    </row>
    <row r="101" spans="1:5" s="36" customFormat="1">
      <c r="A101" s="37">
        <v>45762</v>
      </c>
      <c r="B101" s="57" t="s">
        <v>640</v>
      </c>
      <c r="C101" s="38"/>
      <c r="D101" s="38">
        <v>1669</v>
      </c>
      <c r="E101" s="39"/>
    </row>
    <row r="102" spans="1:5" s="36" customFormat="1">
      <c r="A102" s="37">
        <v>45757</v>
      </c>
      <c r="B102" s="91" t="s">
        <v>655</v>
      </c>
      <c r="C102" s="86" t="s">
        <v>656</v>
      </c>
      <c r="D102" s="86">
        <v>14505</v>
      </c>
      <c r="E102" s="39"/>
    </row>
    <row r="103" spans="1:5" s="36" customFormat="1">
      <c r="A103" s="37">
        <v>45766</v>
      </c>
      <c r="B103" s="92"/>
      <c r="C103" s="88"/>
      <c r="D103" s="88"/>
      <c r="E103" s="39"/>
    </row>
    <row r="104" spans="1:5" s="36" customFormat="1">
      <c r="A104" s="37">
        <v>45757</v>
      </c>
      <c r="B104" s="91" t="s">
        <v>662</v>
      </c>
      <c r="C104" s="86" t="s">
        <v>663</v>
      </c>
      <c r="D104" s="86">
        <v>8232</v>
      </c>
      <c r="E104" s="39"/>
    </row>
    <row r="105" spans="1:5" s="36" customFormat="1">
      <c r="A105" s="37">
        <v>45763</v>
      </c>
      <c r="B105" s="92"/>
      <c r="C105" s="88"/>
      <c r="D105" s="88"/>
      <c r="E105" s="39"/>
    </row>
    <row r="106" spans="1:5" s="36" customFormat="1">
      <c r="A106" s="37">
        <v>45748</v>
      </c>
      <c r="B106" s="91" t="s">
        <v>680</v>
      </c>
      <c r="C106" s="86" t="s">
        <v>681</v>
      </c>
      <c r="D106" s="86">
        <v>28420</v>
      </c>
      <c r="E106" s="39"/>
    </row>
    <row r="107" spans="1:5" s="36" customFormat="1">
      <c r="A107" s="37">
        <v>45768</v>
      </c>
      <c r="B107" s="93"/>
      <c r="C107" s="87"/>
      <c r="D107" s="87"/>
      <c r="E107" s="39"/>
    </row>
    <row r="108" spans="1:5" s="36" customFormat="1">
      <c r="A108" s="37">
        <v>45776</v>
      </c>
      <c r="B108" s="92"/>
      <c r="C108" s="88"/>
      <c r="D108" s="88"/>
      <c r="E108" s="39"/>
    </row>
    <row r="109" spans="1:5" s="36" customFormat="1">
      <c r="A109" s="37">
        <v>45777</v>
      </c>
      <c r="B109" s="57" t="s">
        <v>685</v>
      </c>
      <c r="C109" s="38" t="s">
        <v>686</v>
      </c>
      <c r="D109" s="38">
        <v>3304</v>
      </c>
      <c r="E109" s="39"/>
    </row>
    <row r="110" spans="1:5" s="36" customFormat="1">
      <c r="A110" s="37">
        <v>45756</v>
      </c>
      <c r="B110" s="57" t="s">
        <v>693</v>
      </c>
      <c r="C110" s="38" t="s">
        <v>694</v>
      </c>
      <c r="D110" s="38">
        <v>963</v>
      </c>
      <c r="E110" s="39"/>
    </row>
    <row r="111" spans="1:5" s="36" customFormat="1">
      <c r="A111" s="37">
        <v>45758</v>
      </c>
      <c r="B111" s="57" t="s">
        <v>713</v>
      </c>
      <c r="C111" s="38"/>
      <c r="D111" s="38">
        <v>2773</v>
      </c>
      <c r="E111" s="39"/>
    </row>
    <row r="112" spans="1:5" s="36" customFormat="1">
      <c r="A112" s="37">
        <v>45765</v>
      </c>
      <c r="B112" s="57" t="s">
        <v>721</v>
      </c>
      <c r="C112" s="38" t="s">
        <v>722</v>
      </c>
      <c r="D112" s="38">
        <v>2436</v>
      </c>
      <c r="E112" s="39"/>
    </row>
    <row r="113" spans="1:5" s="36" customFormat="1">
      <c r="A113" s="37">
        <v>45773</v>
      </c>
      <c r="B113" s="57" t="s">
        <v>723</v>
      </c>
      <c r="C113" s="38" t="s">
        <v>724</v>
      </c>
      <c r="D113" s="38">
        <v>1740</v>
      </c>
      <c r="E113" s="39"/>
    </row>
    <row r="114" spans="1:5" s="36" customFormat="1">
      <c r="A114" s="37">
        <v>45770</v>
      </c>
      <c r="B114" s="57" t="s">
        <v>742</v>
      </c>
      <c r="C114" s="38" t="s">
        <v>743</v>
      </c>
      <c r="D114" s="38">
        <v>50400</v>
      </c>
      <c r="E114" s="39"/>
    </row>
    <row r="115" spans="1:5" s="36" customFormat="1">
      <c r="A115" s="37">
        <v>45761</v>
      </c>
      <c r="B115" s="91" t="s">
        <v>758</v>
      </c>
      <c r="C115" s="86" t="s">
        <v>759</v>
      </c>
      <c r="D115" s="86">
        <v>651952</v>
      </c>
      <c r="E115" s="39"/>
    </row>
    <row r="116" spans="1:5" s="36" customFormat="1">
      <c r="A116" s="37">
        <v>45773</v>
      </c>
      <c r="B116" s="92"/>
      <c r="C116" s="88"/>
      <c r="D116" s="88"/>
      <c r="E116" s="39"/>
    </row>
    <row r="117" spans="1:5" s="36" customFormat="1">
      <c r="A117" s="37">
        <v>45768</v>
      </c>
      <c r="B117" s="57" t="s">
        <v>764</v>
      </c>
      <c r="C117" s="38" t="s">
        <v>765</v>
      </c>
      <c r="D117" s="38">
        <v>47376</v>
      </c>
      <c r="E117" s="39"/>
    </row>
    <row r="118" spans="1:5" s="36" customFormat="1">
      <c r="A118" s="37">
        <v>45752</v>
      </c>
      <c r="B118" s="91" t="s">
        <v>776</v>
      </c>
      <c r="C118" s="86" t="s">
        <v>777</v>
      </c>
      <c r="D118" s="86">
        <v>118437</v>
      </c>
      <c r="E118" s="39"/>
    </row>
    <row r="119" spans="1:5" s="36" customFormat="1">
      <c r="A119" s="37">
        <v>45756</v>
      </c>
      <c r="B119" s="93"/>
      <c r="C119" s="87"/>
      <c r="D119" s="87"/>
      <c r="E119" s="39"/>
    </row>
    <row r="120" spans="1:5" s="36" customFormat="1">
      <c r="A120" s="37">
        <v>45758</v>
      </c>
      <c r="B120" s="93"/>
      <c r="C120" s="87"/>
      <c r="D120" s="87"/>
      <c r="E120" s="39"/>
    </row>
    <row r="121" spans="1:5" s="36" customFormat="1">
      <c r="A121" s="37">
        <v>45773</v>
      </c>
      <c r="B121" s="92"/>
      <c r="C121" s="88"/>
      <c r="D121" s="88"/>
      <c r="E121" s="39"/>
    </row>
    <row r="122" spans="1:5" s="36" customFormat="1">
      <c r="A122" s="37">
        <v>45761</v>
      </c>
      <c r="B122" s="57" t="s">
        <v>796</v>
      </c>
      <c r="C122" s="38" t="s">
        <v>797</v>
      </c>
      <c r="D122" s="38">
        <v>34500</v>
      </c>
      <c r="E122" s="39"/>
    </row>
    <row r="123" spans="1:5" s="36" customFormat="1">
      <c r="A123" s="37">
        <v>45752</v>
      </c>
      <c r="B123" s="91" t="s">
        <v>800</v>
      </c>
      <c r="C123" s="86" t="s">
        <v>801</v>
      </c>
      <c r="D123" s="86">
        <v>73248</v>
      </c>
      <c r="E123" s="39"/>
    </row>
    <row r="124" spans="1:5" s="36" customFormat="1">
      <c r="A124" s="37">
        <v>45771</v>
      </c>
      <c r="B124" s="92"/>
      <c r="C124" s="88"/>
      <c r="D124" s="88"/>
      <c r="E124" s="39"/>
    </row>
    <row r="125" spans="1:5" s="36" customFormat="1">
      <c r="A125" s="37">
        <v>45765</v>
      </c>
      <c r="B125" s="91" t="s">
        <v>823</v>
      </c>
      <c r="C125" s="86" t="s">
        <v>824</v>
      </c>
      <c r="D125" s="86">
        <v>14929</v>
      </c>
      <c r="E125" s="39"/>
    </row>
    <row r="126" spans="1:5" s="36" customFormat="1">
      <c r="A126" s="37">
        <v>45766</v>
      </c>
      <c r="B126" s="93"/>
      <c r="C126" s="87"/>
      <c r="D126" s="87"/>
      <c r="E126" s="39"/>
    </row>
    <row r="127" spans="1:5" s="36" customFormat="1">
      <c r="A127" s="37">
        <v>45777</v>
      </c>
      <c r="B127" s="92"/>
      <c r="C127" s="88"/>
      <c r="D127" s="88"/>
      <c r="E127" s="39"/>
    </row>
    <row r="128" spans="1:5" s="36" customFormat="1">
      <c r="A128" s="37">
        <v>45748</v>
      </c>
      <c r="B128" s="57" t="s">
        <v>845</v>
      </c>
      <c r="C128" s="38" t="s">
        <v>846</v>
      </c>
      <c r="D128" s="38">
        <v>19942</v>
      </c>
      <c r="E128" s="39"/>
    </row>
    <row r="129" spans="1:5" s="36" customFormat="1">
      <c r="A129" s="37">
        <v>45773</v>
      </c>
      <c r="B129" s="57" t="s">
        <v>853</v>
      </c>
      <c r="C129" s="38" t="s">
        <v>854</v>
      </c>
      <c r="D129" s="38">
        <v>36235</v>
      </c>
      <c r="E129" s="39"/>
    </row>
    <row r="130" spans="1:5" s="36" customFormat="1">
      <c r="A130" s="37">
        <v>45771</v>
      </c>
      <c r="B130" s="57" t="s">
        <v>864</v>
      </c>
      <c r="C130" s="38" t="s">
        <v>865</v>
      </c>
      <c r="D130" s="38">
        <v>8260</v>
      </c>
      <c r="E130" s="39"/>
    </row>
    <row r="131" spans="1:5" s="36" customFormat="1">
      <c r="A131" s="37">
        <v>45771</v>
      </c>
      <c r="B131" s="91" t="s">
        <v>884</v>
      </c>
      <c r="C131" s="86" t="s">
        <v>885</v>
      </c>
      <c r="D131" s="86">
        <v>10100</v>
      </c>
      <c r="E131" s="39"/>
    </row>
    <row r="132" spans="1:5" s="36" customFormat="1">
      <c r="A132" s="37">
        <v>45771</v>
      </c>
      <c r="B132" s="92"/>
      <c r="C132" s="88"/>
      <c r="D132" s="88"/>
      <c r="E132" s="39"/>
    </row>
    <row r="133" spans="1:5" s="36" customFormat="1">
      <c r="A133" s="37">
        <v>45748</v>
      </c>
      <c r="B133" s="91" t="s">
        <v>892</v>
      </c>
      <c r="C133" s="86" t="s">
        <v>893</v>
      </c>
      <c r="D133" s="86">
        <v>60057</v>
      </c>
      <c r="E133" s="39"/>
    </row>
    <row r="134" spans="1:5" s="36" customFormat="1">
      <c r="A134" s="37">
        <v>45750</v>
      </c>
      <c r="B134" s="93"/>
      <c r="C134" s="87"/>
      <c r="D134" s="87"/>
      <c r="E134" s="39"/>
    </row>
    <row r="135" spans="1:5" s="36" customFormat="1">
      <c r="A135" s="37">
        <v>45763</v>
      </c>
      <c r="B135" s="93"/>
      <c r="C135" s="87"/>
      <c r="D135" s="87"/>
      <c r="E135" s="39"/>
    </row>
    <row r="136" spans="1:5" s="36" customFormat="1">
      <c r="A136" s="37">
        <v>45769</v>
      </c>
      <c r="B136" s="92"/>
      <c r="C136" s="88"/>
      <c r="D136" s="88"/>
      <c r="E136" s="39"/>
    </row>
    <row r="137" spans="1:5" s="36" customFormat="1">
      <c r="A137" s="37">
        <v>45769</v>
      </c>
      <c r="B137" s="57" t="s">
        <v>910</v>
      </c>
      <c r="C137" s="38" t="s">
        <v>911</v>
      </c>
      <c r="D137" s="38">
        <v>3024</v>
      </c>
      <c r="E137" s="39"/>
    </row>
    <row r="138" spans="1:5">
      <c r="A138" s="17"/>
      <c r="B138" s="18" t="s">
        <v>918</v>
      </c>
      <c r="C138" s="7"/>
      <c r="D138" s="21">
        <f>SUM(D4:D137)</f>
        <v>3557199</v>
      </c>
    </row>
  </sheetData>
  <sortState xmlns:xlrd2="http://schemas.microsoft.com/office/spreadsheetml/2017/richdata2" ref="A4:C137">
    <sortCondition ref="B4:B137"/>
  </sortState>
  <mergeCells count="86">
    <mergeCell ref="C54:C55"/>
    <mergeCell ref="C46:C48"/>
    <mergeCell ref="C36:C39"/>
    <mergeCell ref="C29:C30"/>
    <mergeCell ref="C22:C23"/>
    <mergeCell ref="C79:C80"/>
    <mergeCell ref="C77:C78"/>
    <mergeCell ref="C75:C76"/>
    <mergeCell ref="C63:C69"/>
    <mergeCell ref="C57:C59"/>
    <mergeCell ref="C97:C98"/>
    <mergeCell ref="C93:C94"/>
    <mergeCell ref="C91:C92"/>
    <mergeCell ref="C87:C89"/>
    <mergeCell ref="C83:C84"/>
    <mergeCell ref="C118:C121"/>
    <mergeCell ref="C115:C116"/>
    <mergeCell ref="C106:C108"/>
    <mergeCell ref="C104:C105"/>
    <mergeCell ref="C102:C103"/>
    <mergeCell ref="B123:B124"/>
    <mergeCell ref="B125:B127"/>
    <mergeCell ref="B131:B132"/>
    <mergeCell ref="B133:B136"/>
    <mergeCell ref="C133:C136"/>
    <mergeCell ref="C131:C132"/>
    <mergeCell ref="C125:C127"/>
    <mergeCell ref="C123:C124"/>
    <mergeCell ref="B102:B103"/>
    <mergeCell ref="B104:B105"/>
    <mergeCell ref="B106:B108"/>
    <mergeCell ref="B115:B116"/>
    <mergeCell ref="B118:B121"/>
    <mergeCell ref="B83:B84"/>
    <mergeCell ref="B87:B89"/>
    <mergeCell ref="B91:B92"/>
    <mergeCell ref="B93:B94"/>
    <mergeCell ref="B97:B98"/>
    <mergeCell ref="B57:B59"/>
    <mergeCell ref="B63:B69"/>
    <mergeCell ref="B75:B76"/>
    <mergeCell ref="B77:B78"/>
    <mergeCell ref="B79:B80"/>
    <mergeCell ref="B22:B23"/>
    <mergeCell ref="B29:B30"/>
    <mergeCell ref="B36:B39"/>
    <mergeCell ref="B46:B48"/>
    <mergeCell ref="B54:B55"/>
    <mergeCell ref="D18:D20"/>
    <mergeCell ref="D14:D15"/>
    <mergeCell ref="D8:D11"/>
    <mergeCell ref="D5:D6"/>
    <mergeCell ref="B5:B6"/>
    <mergeCell ref="B8:B11"/>
    <mergeCell ref="B14:B15"/>
    <mergeCell ref="B18:B20"/>
    <mergeCell ref="C18:C20"/>
    <mergeCell ref="C14:C15"/>
    <mergeCell ref="C8:C11"/>
    <mergeCell ref="C5:C6"/>
    <mergeCell ref="D54:D55"/>
    <mergeCell ref="D46:D48"/>
    <mergeCell ref="D36:D39"/>
    <mergeCell ref="D29:D30"/>
    <mergeCell ref="D22:D23"/>
    <mergeCell ref="D79:D80"/>
    <mergeCell ref="D77:D78"/>
    <mergeCell ref="D75:D76"/>
    <mergeCell ref="D63:D69"/>
    <mergeCell ref="D57:D59"/>
    <mergeCell ref="A1:B1"/>
    <mergeCell ref="A2:B2"/>
    <mergeCell ref="D133:D136"/>
    <mergeCell ref="D131:D132"/>
    <mergeCell ref="D125:D127"/>
    <mergeCell ref="D123:D124"/>
    <mergeCell ref="D118:D121"/>
    <mergeCell ref="D115:D116"/>
    <mergeCell ref="D106:D108"/>
    <mergeCell ref="D104:D105"/>
    <mergeCell ref="D102:D103"/>
    <mergeCell ref="D97:D98"/>
    <mergeCell ref="D93:D94"/>
    <mergeCell ref="D91:D92"/>
    <mergeCell ref="D87:D89"/>
    <mergeCell ref="D83:D8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4CDF3-3DA6-C645-BB15-9D4A82EC42F1}">
  <dimension ref="A1:D145"/>
  <sheetViews>
    <sheetView topLeftCell="A125" workbookViewId="0">
      <selection activeCell="D146" sqref="D146"/>
    </sheetView>
  </sheetViews>
  <sheetFormatPr defaultColWidth="8.85546875" defaultRowHeight="15"/>
  <cols>
    <col min="1" max="1" width="8.85546875" style="1" customWidth="1"/>
    <col min="2" max="2" width="53.7109375" style="1" customWidth="1"/>
    <col min="3" max="3" width="17.7109375" style="1" customWidth="1"/>
    <col min="4" max="4" width="11.85546875" style="22" customWidth="1"/>
    <col min="5" max="16384" width="8.85546875" style="1"/>
  </cols>
  <sheetData>
    <row r="1" spans="1:4" ht="15.75">
      <c r="A1" s="84" t="s">
        <v>912</v>
      </c>
      <c r="B1" s="84"/>
      <c r="C1" s="12"/>
      <c r="D1" s="19"/>
    </row>
    <row r="2" spans="1:4">
      <c r="A2" s="85" t="s">
        <v>913</v>
      </c>
      <c r="B2" s="85"/>
      <c r="C2" s="12"/>
      <c r="D2" s="19"/>
    </row>
    <row r="3" spans="1:4">
      <c r="A3" s="14" t="s">
        <v>914</v>
      </c>
      <c r="B3" s="15" t="s">
        <v>1</v>
      </c>
      <c r="C3" s="14" t="s">
        <v>2</v>
      </c>
      <c r="D3" s="20" t="s">
        <v>915</v>
      </c>
    </row>
    <row r="4" spans="1:4">
      <c r="A4" s="16">
        <v>45803</v>
      </c>
      <c r="B4" s="103" t="s">
        <v>33</v>
      </c>
      <c r="C4" s="85"/>
      <c r="D4" s="94">
        <v>13175</v>
      </c>
    </row>
    <row r="5" spans="1:4">
      <c r="A5" s="16">
        <v>45787</v>
      </c>
      <c r="B5" s="103"/>
      <c r="C5" s="85"/>
      <c r="D5" s="95"/>
    </row>
    <row r="6" spans="1:4">
      <c r="A6" s="16">
        <v>45803</v>
      </c>
      <c r="B6" s="50" t="s">
        <v>37</v>
      </c>
      <c r="C6" s="7" t="s">
        <v>38</v>
      </c>
      <c r="D6" s="23">
        <v>6720</v>
      </c>
    </row>
    <row r="7" spans="1:4">
      <c r="A7" s="16">
        <v>45786</v>
      </c>
      <c r="B7" s="50" t="s">
        <v>50</v>
      </c>
      <c r="C7" s="7" t="s">
        <v>51</v>
      </c>
      <c r="D7" s="23">
        <v>68850</v>
      </c>
    </row>
    <row r="8" spans="1:4">
      <c r="A8" s="16">
        <v>45786</v>
      </c>
      <c r="B8" s="50" t="s">
        <v>58</v>
      </c>
      <c r="C8" s="7"/>
      <c r="D8" s="23">
        <v>4640</v>
      </c>
    </row>
    <row r="9" spans="1:4">
      <c r="A9" s="16">
        <v>45796</v>
      </c>
      <c r="B9" s="50" t="s">
        <v>80</v>
      </c>
      <c r="C9" s="7"/>
      <c r="D9" s="23">
        <v>4200</v>
      </c>
    </row>
    <row r="10" spans="1:4">
      <c r="A10" s="16">
        <v>45782</v>
      </c>
      <c r="B10" s="50" t="s">
        <v>84</v>
      </c>
      <c r="C10" s="7" t="s">
        <v>85</v>
      </c>
      <c r="D10" s="23">
        <v>8460</v>
      </c>
    </row>
    <row r="11" spans="1:4">
      <c r="A11" s="16">
        <v>45799</v>
      </c>
      <c r="B11" s="50" t="s">
        <v>96</v>
      </c>
      <c r="C11" s="7" t="s">
        <v>97</v>
      </c>
      <c r="D11" s="23">
        <v>1420</v>
      </c>
    </row>
    <row r="12" spans="1:4">
      <c r="A12" s="16">
        <v>45806</v>
      </c>
      <c r="B12" s="50" t="s">
        <v>108</v>
      </c>
      <c r="C12" s="7" t="s">
        <v>109</v>
      </c>
      <c r="D12" s="23">
        <v>39585</v>
      </c>
    </row>
    <row r="13" spans="1:4">
      <c r="A13" s="16">
        <v>45789</v>
      </c>
      <c r="B13" s="50" t="s">
        <v>114</v>
      </c>
      <c r="C13" s="7"/>
      <c r="D13" s="23">
        <v>327.5</v>
      </c>
    </row>
    <row r="14" spans="1:4">
      <c r="A14" s="16">
        <v>45783</v>
      </c>
      <c r="B14" s="97" t="s">
        <v>128</v>
      </c>
      <c r="C14" s="85" t="s">
        <v>129</v>
      </c>
      <c r="D14" s="94">
        <v>46806</v>
      </c>
    </row>
    <row r="15" spans="1:4">
      <c r="A15" s="16">
        <v>45790</v>
      </c>
      <c r="B15" s="101"/>
      <c r="C15" s="85"/>
      <c r="D15" s="96"/>
    </row>
    <row r="16" spans="1:4">
      <c r="A16" s="16">
        <v>45799</v>
      </c>
      <c r="B16" s="101"/>
      <c r="C16" s="85"/>
      <c r="D16" s="96"/>
    </row>
    <row r="17" spans="1:4">
      <c r="A17" s="16">
        <v>45805</v>
      </c>
      <c r="B17" s="101"/>
      <c r="C17" s="85"/>
      <c r="D17" s="96"/>
    </row>
    <row r="18" spans="1:4">
      <c r="A18" s="16">
        <v>45778</v>
      </c>
      <c r="B18" s="101"/>
      <c r="C18" s="85"/>
      <c r="D18" s="96"/>
    </row>
    <row r="19" spans="1:4">
      <c r="A19" s="16">
        <v>45783</v>
      </c>
      <c r="B19" s="98"/>
      <c r="C19" s="85"/>
      <c r="D19" s="95"/>
    </row>
    <row r="20" spans="1:4">
      <c r="A20" s="16">
        <v>45804</v>
      </c>
      <c r="B20" s="50" t="s">
        <v>133</v>
      </c>
      <c r="C20" s="99" t="s">
        <v>134</v>
      </c>
      <c r="D20" s="94">
        <v>23400</v>
      </c>
    </row>
    <row r="21" spans="1:4">
      <c r="A21" s="16">
        <v>45806</v>
      </c>
      <c r="B21" s="50" t="s">
        <v>133</v>
      </c>
      <c r="C21" s="100"/>
      <c r="D21" s="95"/>
    </row>
    <row r="22" spans="1:4">
      <c r="A22" s="16">
        <v>45789</v>
      </c>
      <c r="B22" s="50" t="s">
        <v>145</v>
      </c>
      <c r="C22" s="7" t="s">
        <v>146</v>
      </c>
      <c r="D22" s="23">
        <v>99000</v>
      </c>
    </row>
    <row r="23" spans="1:4">
      <c r="A23" s="16">
        <v>45787</v>
      </c>
      <c r="B23" s="50" t="s">
        <v>147</v>
      </c>
      <c r="C23" s="7" t="s">
        <v>148</v>
      </c>
      <c r="D23" s="23">
        <v>8335</v>
      </c>
    </row>
    <row r="24" spans="1:4">
      <c r="A24" s="16">
        <v>45798</v>
      </c>
      <c r="B24" s="50" t="s">
        <v>160</v>
      </c>
      <c r="C24" s="7" t="s">
        <v>161</v>
      </c>
      <c r="D24" s="23">
        <v>16071</v>
      </c>
    </row>
    <row r="25" spans="1:4">
      <c r="A25" s="16">
        <v>45793</v>
      </c>
      <c r="B25" s="50" t="s">
        <v>200</v>
      </c>
      <c r="C25" s="7" t="s">
        <v>201</v>
      </c>
      <c r="D25" s="23">
        <v>4200</v>
      </c>
    </row>
    <row r="26" spans="1:4">
      <c r="A26" s="16">
        <v>45782</v>
      </c>
      <c r="B26" s="50" t="s">
        <v>208</v>
      </c>
      <c r="C26" s="7" t="s">
        <v>209</v>
      </c>
      <c r="D26" s="23">
        <v>7200</v>
      </c>
    </row>
    <row r="27" spans="1:4">
      <c r="A27" s="16">
        <v>45782</v>
      </c>
      <c r="B27" s="97" t="s">
        <v>215</v>
      </c>
      <c r="C27" s="99" t="s">
        <v>216</v>
      </c>
      <c r="D27" s="94">
        <v>43600</v>
      </c>
    </row>
    <row r="28" spans="1:4">
      <c r="A28" s="16">
        <v>45797</v>
      </c>
      <c r="B28" s="98"/>
      <c r="C28" s="100"/>
      <c r="D28" s="95"/>
    </row>
    <row r="29" spans="1:4">
      <c r="A29" s="16">
        <v>45784</v>
      </c>
      <c r="B29" s="97" t="s">
        <v>221</v>
      </c>
      <c r="C29" s="99"/>
      <c r="D29" s="94">
        <v>17960</v>
      </c>
    </row>
    <row r="30" spans="1:4">
      <c r="A30" s="16">
        <v>45804</v>
      </c>
      <c r="B30" s="98"/>
      <c r="C30" s="100"/>
      <c r="D30" s="95"/>
    </row>
    <row r="31" spans="1:4">
      <c r="A31" s="16">
        <v>45805</v>
      </c>
      <c r="B31" s="50" t="s">
        <v>225</v>
      </c>
      <c r="C31" s="7" t="s">
        <v>226</v>
      </c>
      <c r="D31" s="23">
        <v>5350</v>
      </c>
    </row>
    <row r="32" spans="1:4">
      <c r="A32" s="16">
        <v>45787</v>
      </c>
      <c r="B32" s="50" t="s">
        <v>228</v>
      </c>
      <c r="C32" s="7" t="s">
        <v>229</v>
      </c>
      <c r="D32" s="23">
        <v>18000</v>
      </c>
    </row>
    <row r="33" spans="1:4">
      <c r="A33" s="16">
        <v>45798</v>
      </c>
      <c r="B33" s="50" t="s">
        <v>253</v>
      </c>
      <c r="C33" s="7" t="s">
        <v>254</v>
      </c>
      <c r="D33" s="23">
        <v>7950</v>
      </c>
    </row>
    <row r="34" spans="1:4">
      <c r="A34" s="16">
        <v>45796</v>
      </c>
      <c r="B34" s="50" t="s">
        <v>255</v>
      </c>
      <c r="C34" s="7" t="s">
        <v>256</v>
      </c>
      <c r="D34" s="23">
        <v>2500</v>
      </c>
    </row>
    <row r="35" spans="1:4">
      <c r="A35" s="16">
        <v>45798</v>
      </c>
      <c r="B35" s="50" t="s">
        <v>266</v>
      </c>
      <c r="C35" s="7" t="s">
        <v>267</v>
      </c>
      <c r="D35" s="23">
        <v>11300</v>
      </c>
    </row>
    <row r="36" spans="1:4">
      <c r="A36" s="16">
        <v>45778</v>
      </c>
      <c r="B36" s="97" t="s">
        <v>273</v>
      </c>
      <c r="C36" s="99" t="s">
        <v>274</v>
      </c>
      <c r="D36" s="94">
        <v>247140</v>
      </c>
    </row>
    <row r="37" spans="1:4">
      <c r="A37" s="16">
        <v>45779</v>
      </c>
      <c r="B37" s="101"/>
      <c r="C37" s="102"/>
      <c r="D37" s="96"/>
    </row>
    <row r="38" spans="1:4">
      <c r="A38" s="16">
        <v>45797</v>
      </c>
      <c r="B38" s="101"/>
      <c r="C38" s="102"/>
      <c r="D38" s="96"/>
    </row>
    <row r="39" spans="1:4">
      <c r="A39" s="16">
        <v>45807</v>
      </c>
      <c r="B39" s="101"/>
      <c r="C39" s="102"/>
      <c r="D39" s="96"/>
    </row>
    <row r="40" spans="1:4">
      <c r="A40" s="16">
        <v>45808</v>
      </c>
      <c r="B40" s="98"/>
      <c r="C40" s="100"/>
      <c r="D40" s="95"/>
    </row>
    <row r="41" spans="1:4">
      <c r="A41" s="16">
        <v>45792</v>
      </c>
      <c r="B41" s="50" t="s">
        <v>275</v>
      </c>
      <c r="C41" s="7" t="s">
        <v>276</v>
      </c>
      <c r="D41" s="23">
        <v>1960</v>
      </c>
    </row>
    <row r="42" spans="1:4">
      <c r="A42" s="16">
        <v>45780</v>
      </c>
      <c r="B42" s="97" t="s">
        <v>288</v>
      </c>
      <c r="C42" s="99" t="s">
        <v>289</v>
      </c>
      <c r="D42" s="94">
        <v>16400</v>
      </c>
    </row>
    <row r="43" spans="1:4">
      <c r="A43" s="16">
        <v>45801</v>
      </c>
      <c r="B43" s="101"/>
      <c r="C43" s="102"/>
      <c r="D43" s="96"/>
    </row>
    <row r="44" spans="1:4">
      <c r="A44" s="16">
        <v>45805</v>
      </c>
      <c r="B44" s="98"/>
      <c r="C44" s="100"/>
      <c r="D44" s="95"/>
    </row>
    <row r="45" spans="1:4">
      <c r="A45" s="16">
        <v>45780</v>
      </c>
      <c r="B45" s="50" t="s">
        <v>294</v>
      </c>
      <c r="C45" s="7" t="s">
        <v>295</v>
      </c>
      <c r="D45" s="23">
        <v>6250</v>
      </c>
    </row>
    <row r="46" spans="1:4">
      <c r="A46" s="16">
        <v>45783</v>
      </c>
      <c r="B46" s="50" t="s">
        <v>298</v>
      </c>
      <c r="C46" s="7" t="s">
        <v>299</v>
      </c>
      <c r="D46" s="23">
        <v>3850</v>
      </c>
    </row>
    <row r="47" spans="1:4">
      <c r="A47" s="16">
        <v>45803</v>
      </c>
      <c r="B47" s="50" t="s">
        <v>311</v>
      </c>
      <c r="C47" s="7" t="s">
        <v>312</v>
      </c>
      <c r="D47" s="23">
        <v>4200</v>
      </c>
    </row>
    <row r="48" spans="1:4">
      <c r="A48" s="16">
        <v>45801</v>
      </c>
      <c r="B48" s="50" t="s">
        <v>316</v>
      </c>
      <c r="C48" s="7" t="s">
        <v>317</v>
      </c>
      <c r="D48" s="23">
        <v>11380</v>
      </c>
    </row>
    <row r="49" spans="1:4">
      <c r="A49" s="16">
        <v>45789</v>
      </c>
      <c r="B49" s="50" t="s">
        <v>323</v>
      </c>
      <c r="C49" s="7"/>
      <c r="D49" s="23">
        <v>2040</v>
      </c>
    </row>
    <row r="50" spans="1:4">
      <c r="A50" s="16">
        <v>45782</v>
      </c>
      <c r="B50" s="50" t="s">
        <v>328</v>
      </c>
      <c r="C50" s="7" t="s">
        <v>329</v>
      </c>
      <c r="D50" s="23">
        <v>19500</v>
      </c>
    </row>
    <row r="51" spans="1:4">
      <c r="A51" s="16">
        <v>45790</v>
      </c>
      <c r="B51" s="50" t="s">
        <v>332</v>
      </c>
      <c r="C51" s="7"/>
      <c r="D51" s="23">
        <v>28950</v>
      </c>
    </row>
    <row r="52" spans="1:4">
      <c r="A52" s="16">
        <v>45801</v>
      </c>
      <c r="B52" s="50" t="s">
        <v>345</v>
      </c>
      <c r="C52" s="7"/>
      <c r="D52" s="23">
        <v>2180</v>
      </c>
    </row>
    <row r="53" spans="1:4">
      <c r="A53" s="16">
        <v>45795</v>
      </c>
      <c r="B53" s="50" t="s">
        <v>350</v>
      </c>
      <c r="C53" s="7" t="s">
        <v>347</v>
      </c>
      <c r="D53" s="23">
        <v>4900</v>
      </c>
    </row>
    <row r="54" spans="1:4">
      <c r="A54" s="16">
        <v>45784</v>
      </c>
      <c r="B54" s="50" t="s">
        <v>351</v>
      </c>
      <c r="C54" s="7" t="s">
        <v>352</v>
      </c>
      <c r="D54" s="23">
        <v>44180</v>
      </c>
    </row>
    <row r="55" spans="1:4">
      <c r="A55" s="16">
        <v>45793</v>
      </c>
      <c r="B55" s="97" t="s">
        <v>353</v>
      </c>
      <c r="C55" s="99" t="s">
        <v>354</v>
      </c>
      <c r="D55" s="94">
        <v>23768</v>
      </c>
    </row>
    <row r="56" spans="1:4">
      <c r="A56" s="16">
        <v>45798</v>
      </c>
      <c r="B56" s="101"/>
      <c r="C56" s="102"/>
      <c r="D56" s="96"/>
    </row>
    <row r="57" spans="1:4">
      <c r="A57" s="16">
        <v>45805</v>
      </c>
      <c r="B57" s="98"/>
      <c r="C57" s="100"/>
      <c r="D57" s="95"/>
    </row>
    <row r="58" spans="1:4">
      <c r="A58" s="16">
        <v>45786</v>
      </c>
      <c r="B58" s="50" t="s">
        <v>357</v>
      </c>
      <c r="C58" s="7" t="s">
        <v>358</v>
      </c>
      <c r="D58" s="23">
        <v>25423.73</v>
      </c>
    </row>
    <row r="59" spans="1:4">
      <c r="A59" s="16">
        <v>45796</v>
      </c>
      <c r="B59" s="50" t="s">
        <v>361</v>
      </c>
      <c r="C59" s="7" t="s">
        <v>362</v>
      </c>
      <c r="D59" s="23">
        <v>38571.43</v>
      </c>
    </row>
    <row r="60" spans="1:4">
      <c r="A60" s="16">
        <v>45789</v>
      </c>
      <c r="B60" s="50" t="s">
        <v>372</v>
      </c>
      <c r="C60" s="7" t="s">
        <v>373</v>
      </c>
      <c r="D60" s="23">
        <v>27676</v>
      </c>
    </row>
    <row r="61" spans="1:4">
      <c r="A61" s="16">
        <v>45800</v>
      </c>
      <c r="B61" s="50" t="s">
        <v>383</v>
      </c>
      <c r="C61" s="7" t="s">
        <v>384</v>
      </c>
      <c r="D61" s="23">
        <v>9140</v>
      </c>
    </row>
    <row r="62" spans="1:4">
      <c r="A62" s="16">
        <v>45799</v>
      </c>
      <c r="B62" s="50" t="s">
        <v>395</v>
      </c>
      <c r="C62" s="7" t="s">
        <v>396</v>
      </c>
      <c r="D62" s="23">
        <v>36000</v>
      </c>
    </row>
    <row r="63" spans="1:4">
      <c r="A63" s="16">
        <v>45805</v>
      </c>
      <c r="B63" s="50" t="s">
        <v>398</v>
      </c>
      <c r="C63" s="7" t="s">
        <v>399</v>
      </c>
      <c r="D63" s="23">
        <v>77600</v>
      </c>
    </row>
    <row r="64" spans="1:4">
      <c r="A64" s="16">
        <v>45785</v>
      </c>
      <c r="B64" s="50" t="s">
        <v>402</v>
      </c>
      <c r="C64" s="7" t="s">
        <v>403</v>
      </c>
      <c r="D64" s="23">
        <v>3600</v>
      </c>
    </row>
    <row r="65" spans="1:4">
      <c r="A65" s="16">
        <v>45793</v>
      </c>
      <c r="B65" s="97" t="s">
        <v>418</v>
      </c>
      <c r="C65" s="99"/>
      <c r="D65" s="94">
        <v>37895</v>
      </c>
    </row>
    <row r="66" spans="1:4">
      <c r="A66" s="16">
        <v>45794</v>
      </c>
      <c r="B66" s="98"/>
      <c r="C66" s="100"/>
      <c r="D66" s="95"/>
    </row>
    <row r="67" spans="1:4">
      <c r="A67" s="16">
        <v>45792</v>
      </c>
      <c r="B67" s="50" t="s">
        <v>427</v>
      </c>
      <c r="C67" s="7" t="s">
        <v>428</v>
      </c>
      <c r="D67" s="23">
        <v>28200</v>
      </c>
    </row>
    <row r="68" spans="1:4">
      <c r="A68" s="16">
        <v>45792</v>
      </c>
      <c r="B68" s="50" t="s">
        <v>434</v>
      </c>
      <c r="C68" s="7" t="s">
        <v>435</v>
      </c>
      <c r="D68" s="23">
        <v>5500</v>
      </c>
    </row>
    <row r="69" spans="1:4">
      <c r="A69" s="16">
        <v>45794</v>
      </c>
      <c r="B69" s="50" t="s">
        <v>440</v>
      </c>
      <c r="C69" s="7" t="s">
        <v>441</v>
      </c>
      <c r="D69" s="23">
        <v>6240</v>
      </c>
    </row>
    <row r="70" spans="1:4">
      <c r="A70" s="16">
        <v>45786</v>
      </c>
      <c r="B70" s="50" t="s">
        <v>451</v>
      </c>
      <c r="C70" s="7" t="s">
        <v>452</v>
      </c>
      <c r="D70" s="23">
        <v>1051.5</v>
      </c>
    </row>
    <row r="71" spans="1:4">
      <c r="A71" s="16">
        <v>45790</v>
      </c>
      <c r="B71" s="50" t="s">
        <v>454</v>
      </c>
      <c r="C71" s="7" t="s">
        <v>455</v>
      </c>
      <c r="D71" s="23">
        <v>7150</v>
      </c>
    </row>
    <row r="72" spans="1:4">
      <c r="A72" s="16">
        <v>45780</v>
      </c>
      <c r="B72" s="97" t="s">
        <v>464</v>
      </c>
      <c r="C72" s="99" t="s">
        <v>465</v>
      </c>
      <c r="D72" s="94">
        <v>24650</v>
      </c>
    </row>
    <row r="73" spans="1:4">
      <c r="A73" s="16">
        <v>45783</v>
      </c>
      <c r="B73" s="101"/>
      <c r="C73" s="102"/>
      <c r="D73" s="96"/>
    </row>
    <row r="74" spans="1:4">
      <c r="A74" s="16">
        <v>45804</v>
      </c>
      <c r="B74" s="101"/>
      <c r="C74" s="102"/>
      <c r="D74" s="96"/>
    </row>
    <row r="75" spans="1:4">
      <c r="A75" s="16">
        <v>45805</v>
      </c>
      <c r="B75" s="101"/>
      <c r="C75" s="102"/>
      <c r="D75" s="96"/>
    </row>
    <row r="76" spans="1:4">
      <c r="A76" s="16">
        <v>45808</v>
      </c>
      <c r="B76" s="98"/>
      <c r="C76" s="100"/>
      <c r="D76" s="95"/>
    </row>
    <row r="77" spans="1:4">
      <c r="A77" s="16">
        <v>45789</v>
      </c>
      <c r="B77" s="50" t="s">
        <v>474</v>
      </c>
      <c r="C77" s="7" t="s">
        <v>475</v>
      </c>
      <c r="D77" s="23">
        <v>27300</v>
      </c>
    </row>
    <row r="78" spans="1:4">
      <c r="A78" s="16">
        <v>45806</v>
      </c>
      <c r="B78" s="50" t="s">
        <v>476</v>
      </c>
      <c r="C78" s="7"/>
      <c r="D78" s="23">
        <v>3270</v>
      </c>
    </row>
    <row r="79" spans="1:4">
      <c r="A79" s="16">
        <v>45783</v>
      </c>
      <c r="B79" s="50" t="s">
        <v>481</v>
      </c>
      <c r="C79" s="7" t="s">
        <v>482</v>
      </c>
      <c r="D79" s="23">
        <v>6900</v>
      </c>
    </row>
    <row r="80" spans="1:4">
      <c r="A80" s="16">
        <v>45782</v>
      </c>
      <c r="B80" s="50" t="s">
        <v>483</v>
      </c>
      <c r="C80" s="7" t="s">
        <v>484</v>
      </c>
      <c r="D80" s="23">
        <v>77910</v>
      </c>
    </row>
    <row r="81" spans="1:4">
      <c r="A81" s="16">
        <v>45789</v>
      </c>
      <c r="B81" s="50" t="s">
        <v>503</v>
      </c>
      <c r="C81" s="7" t="s">
        <v>504</v>
      </c>
      <c r="D81" s="23">
        <v>77490</v>
      </c>
    </row>
    <row r="82" spans="1:4">
      <c r="A82" s="16">
        <v>45787</v>
      </c>
      <c r="B82" s="97" t="s">
        <v>526</v>
      </c>
      <c r="C82" s="99" t="s">
        <v>527</v>
      </c>
      <c r="D82" s="94">
        <v>61180</v>
      </c>
    </row>
    <row r="83" spans="1:4">
      <c r="A83" s="16">
        <v>45805</v>
      </c>
      <c r="B83" s="98"/>
      <c r="C83" s="100"/>
      <c r="D83" s="95"/>
    </row>
    <row r="84" spans="1:4">
      <c r="A84" s="16">
        <v>45783</v>
      </c>
      <c r="B84" s="50" t="s">
        <v>536</v>
      </c>
      <c r="C84" s="7"/>
      <c r="D84" s="23">
        <v>7310</v>
      </c>
    </row>
    <row r="85" spans="1:4">
      <c r="A85" s="16">
        <v>45778</v>
      </c>
      <c r="B85" s="50" t="s">
        <v>538</v>
      </c>
      <c r="C85" s="7" t="s">
        <v>539</v>
      </c>
      <c r="D85" s="23">
        <v>1575</v>
      </c>
    </row>
    <row r="86" spans="1:4">
      <c r="A86" s="16">
        <v>45797</v>
      </c>
      <c r="B86" s="50" t="s">
        <v>545</v>
      </c>
      <c r="C86" s="7" t="s">
        <v>546</v>
      </c>
      <c r="D86" s="23">
        <v>4400</v>
      </c>
    </row>
    <row r="87" spans="1:4">
      <c r="A87" s="16">
        <v>45807</v>
      </c>
      <c r="B87" s="50" t="s">
        <v>547</v>
      </c>
      <c r="C87" s="7" t="s">
        <v>461</v>
      </c>
      <c r="D87" s="23">
        <v>7400</v>
      </c>
    </row>
    <row r="88" spans="1:4">
      <c r="A88" s="16">
        <v>45796</v>
      </c>
      <c r="B88" s="97" t="s">
        <v>548</v>
      </c>
      <c r="C88" s="99" t="s">
        <v>549</v>
      </c>
      <c r="D88" s="94">
        <v>4640</v>
      </c>
    </row>
    <row r="89" spans="1:4">
      <c r="A89" s="16">
        <v>45808</v>
      </c>
      <c r="B89" s="98"/>
      <c r="C89" s="100"/>
      <c r="D89" s="95"/>
    </row>
    <row r="90" spans="1:4">
      <c r="A90" s="16">
        <v>45778</v>
      </c>
      <c r="B90" s="97" t="s">
        <v>552</v>
      </c>
      <c r="C90" s="99" t="s">
        <v>553</v>
      </c>
      <c r="D90" s="94">
        <v>60000</v>
      </c>
    </row>
    <row r="91" spans="1:4">
      <c r="A91" s="16">
        <v>45793</v>
      </c>
      <c r="B91" s="98"/>
      <c r="C91" s="100"/>
      <c r="D91" s="95"/>
    </row>
    <row r="92" spans="1:4">
      <c r="A92" s="16">
        <v>45789</v>
      </c>
      <c r="B92" s="50" t="s">
        <v>570</v>
      </c>
      <c r="C92" s="7" t="s">
        <v>571</v>
      </c>
      <c r="D92" s="23">
        <v>13500</v>
      </c>
    </row>
    <row r="93" spans="1:4">
      <c r="A93" s="16">
        <v>45785</v>
      </c>
      <c r="B93" s="97" t="s">
        <v>572</v>
      </c>
      <c r="C93" s="99" t="s">
        <v>573</v>
      </c>
      <c r="D93" s="94">
        <v>94680</v>
      </c>
    </row>
    <row r="94" spans="1:4">
      <c r="A94" s="16">
        <v>45806</v>
      </c>
      <c r="B94" s="98"/>
      <c r="C94" s="100"/>
      <c r="D94" s="95"/>
    </row>
    <row r="95" spans="1:4">
      <c r="A95" s="16">
        <v>45786</v>
      </c>
      <c r="B95" s="97" t="s">
        <v>574</v>
      </c>
      <c r="C95" s="99" t="s">
        <v>575</v>
      </c>
      <c r="D95" s="94">
        <v>74320</v>
      </c>
    </row>
    <row r="96" spans="1:4">
      <c r="A96" s="16">
        <v>45797</v>
      </c>
      <c r="B96" s="98"/>
      <c r="C96" s="100"/>
      <c r="D96" s="95"/>
    </row>
    <row r="97" spans="1:4">
      <c r="A97" s="16">
        <v>45793</v>
      </c>
      <c r="B97" s="50" t="s">
        <v>588</v>
      </c>
      <c r="C97" s="7"/>
      <c r="D97" s="23">
        <v>2450</v>
      </c>
    </row>
    <row r="98" spans="1:4">
      <c r="A98" s="16">
        <v>45783</v>
      </c>
      <c r="B98" s="50" t="s">
        <v>617</v>
      </c>
      <c r="C98" s="7" t="s">
        <v>618</v>
      </c>
      <c r="D98" s="23">
        <v>46000</v>
      </c>
    </row>
    <row r="99" spans="1:4">
      <c r="A99" s="16">
        <v>45794</v>
      </c>
      <c r="B99" s="50" t="s">
        <v>627</v>
      </c>
      <c r="C99" s="7" t="s">
        <v>628</v>
      </c>
      <c r="D99" s="23">
        <v>4800</v>
      </c>
    </row>
    <row r="100" spans="1:4">
      <c r="A100" s="16">
        <v>45786</v>
      </c>
      <c r="B100" s="50" t="s">
        <v>631</v>
      </c>
      <c r="C100" s="7"/>
      <c r="D100" s="23">
        <v>2500.4</v>
      </c>
    </row>
    <row r="101" spans="1:4">
      <c r="A101" s="16">
        <v>45806</v>
      </c>
      <c r="B101" s="50" t="s">
        <v>636</v>
      </c>
      <c r="C101" s="7"/>
      <c r="D101" s="23">
        <v>3150</v>
      </c>
    </row>
    <row r="102" spans="1:4">
      <c r="A102" s="16">
        <v>45796</v>
      </c>
      <c r="B102" s="50" t="s">
        <v>645</v>
      </c>
      <c r="C102" s="7" t="s">
        <v>646</v>
      </c>
      <c r="D102" s="23">
        <v>7500</v>
      </c>
    </row>
    <row r="103" spans="1:4">
      <c r="A103" s="16">
        <v>45807</v>
      </c>
      <c r="B103" s="50" t="s">
        <v>647</v>
      </c>
      <c r="C103" s="7" t="s">
        <v>648</v>
      </c>
      <c r="D103" s="23">
        <v>27200</v>
      </c>
    </row>
    <row r="104" spans="1:4">
      <c r="A104" s="16">
        <v>45806</v>
      </c>
      <c r="B104" s="50" t="s">
        <v>650</v>
      </c>
      <c r="C104" s="7" t="s">
        <v>651</v>
      </c>
      <c r="D104" s="23">
        <v>14765</v>
      </c>
    </row>
    <row r="105" spans="1:4">
      <c r="A105" s="16">
        <v>45780</v>
      </c>
      <c r="B105" s="97" t="s">
        <v>655</v>
      </c>
      <c r="C105" s="99" t="s">
        <v>656</v>
      </c>
      <c r="D105" s="94">
        <v>12000</v>
      </c>
    </row>
    <row r="106" spans="1:4">
      <c r="A106" s="16">
        <v>45782</v>
      </c>
      <c r="B106" s="98"/>
      <c r="C106" s="100"/>
      <c r="D106" s="95"/>
    </row>
    <row r="107" spans="1:4">
      <c r="A107" s="16">
        <v>45798</v>
      </c>
      <c r="B107" s="50" t="s">
        <v>919</v>
      </c>
      <c r="C107" s="7" t="s">
        <v>663</v>
      </c>
      <c r="D107" s="23">
        <v>3150</v>
      </c>
    </row>
    <row r="108" spans="1:4">
      <c r="A108" s="16">
        <v>45795</v>
      </c>
      <c r="B108" s="50" t="s">
        <v>664</v>
      </c>
      <c r="C108" s="7" t="s">
        <v>665</v>
      </c>
      <c r="D108" s="23">
        <v>3150</v>
      </c>
    </row>
    <row r="109" spans="1:4">
      <c r="A109" s="16">
        <v>45784</v>
      </c>
      <c r="B109" s="50" t="s">
        <v>666</v>
      </c>
      <c r="C109" s="7" t="s">
        <v>667</v>
      </c>
      <c r="D109" s="23">
        <v>5600</v>
      </c>
    </row>
    <row r="110" spans="1:4">
      <c r="A110" s="16">
        <v>45790</v>
      </c>
      <c r="B110" s="50" t="s">
        <v>680</v>
      </c>
      <c r="C110" s="7" t="s">
        <v>681</v>
      </c>
      <c r="D110" s="23">
        <v>9250</v>
      </c>
    </row>
    <row r="111" spans="1:4">
      <c r="A111" s="16">
        <v>45805</v>
      </c>
      <c r="B111" s="50" t="s">
        <v>685</v>
      </c>
      <c r="C111" s="7" t="s">
        <v>686</v>
      </c>
      <c r="D111" s="23">
        <v>8240</v>
      </c>
    </row>
    <row r="112" spans="1:4">
      <c r="A112" s="16">
        <v>45793</v>
      </c>
      <c r="B112" s="50" t="s">
        <v>705</v>
      </c>
      <c r="C112" s="7" t="s">
        <v>706</v>
      </c>
      <c r="D112" s="23">
        <v>1960</v>
      </c>
    </row>
    <row r="113" spans="1:4">
      <c r="A113" s="16">
        <v>45792</v>
      </c>
      <c r="B113" s="50" t="s">
        <v>713</v>
      </c>
      <c r="C113" s="7"/>
      <c r="D113" s="23">
        <v>1107</v>
      </c>
    </row>
    <row r="114" spans="1:4">
      <c r="A114" s="16">
        <v>45803</v>
      </c>
      <c r="B114" s="50" t="s">
        <v>734</v>
      </c>
      <c r="C114" s="7" t="s">
        <v>735</v>
      </c>
      <c r="D114" s="23">
        <v>55000</v>
      </c>
    </row>
    <row r="115" spans="1:4">
      <c r="A115" s="16">
        <v>45795</v>
      </c>
      <c r="B115" s="50" t="s">
        <v>754</v>
      </c>
      <c r="C115" s="7" t="s">
        <v>755</v>
      </c>
      <c r="D115" s="23">
        <v>23350</v>
      </c>
    </row>
    <row r="116" spans="1:4">
      <c r="A116" s="16">
        <v>45779</v>
      </c>
      <c r="B116" s="97" t="s">
        <v>756</v>
      </c>
      <c r="C116" s="99" t="s">
        <v>757</v>
      </c>
      <c r="D116" s="94">
        <v>11380</v>
      </c>
    </row>
    <row r="117" spans="1:4">
      <c r="A117" s="16">
        <v>45785</v>
      </c>
      <c r="B117" s="98"/>
      <c r="C117" s="100"/>
      <c r="D117" s="95"/>
    </row>
    <row r="118" spans="1:4">
      <c r="A118" s="16">
        <v>45784</v>
      </c>
      <c r="B118" s="50" t="s">
        <v>769</v>
      </c>
      <c r="C118" s="7" t="s">
        <v>770</v>
      </c>
      <c r="D118" s="23">
        <v>7400</v>
      </c>
    </row>
    <row r="119" spans="1:4">
      <c r="A119" s="16">
        <v>45786</v>
      </c>
      <c r="B119" s="97" t="s">
        <v>776</v>
      </c>
      <c r="C119" s="99" t="s">
        <v>777</v>
      </c>
      <c r="D119" s="94">
        <v>70810</v>
      </c>
    </row>
    <row r="120" spans="1:4">
      <c r="A120" s="16">
        <v>45790</v>
      </c>
      <c r="B120" s="101"/>
      <c r="C120" s="102"/>
      <c r="D120" s="96"/>
    </row>
    <row r="121" spans="1:4">
      <c r="A121" s="16">
        <v>45793</v>
      </c>
      <c r="B121" s="98"/>
      <c r="C121" s="100"/>
      <c r="D121" s="95"/>
    </row>
    <row r="122" spans="1:4">
      <c r="A122" s="16">
        <v>45782</v>
      </c>
      <c r="B122" s="50" t="s">
        <v>780</v>
      </c>
      <c r="C122" s="7"/>
      <c r="D122" s="23">
        <v>7225</v>
      </c>
    </row>
    <row r="123" spans="1:4">
      <c r="A123" s="16">
        <v>45796</v>
      </c>
      <c r="B123" s="50" t="s">
        <v>788</v>
      </c>
      <c r="C123" s="7" t="s">
        <v>789</v>
      </c>
      <c r="D123" s="23">
        <v>68450</v>
      </c>
    </row>
    <row r="124" spans="1:4">
      <c r="A124" s="16">
        <v>45785</v>
      </c>
      <c r="B124" s="97" t="s">
        <v>792</v>
      </c>
      <c r="C124" s="99" t="s">
        <v>793</v>
      </c>
      <c r="D124" s="94">
        <v>11470</v>
      </c>
    </row>
    <row r="125" spans="1:4">
      <c r="A125" s="16">
        <v>45794</v>
      </c>
      <c r="B125" s="101"/>
      <c r="C125" s="102"/>
      <c r="D125" s="96"/>
    </row>
    <row r="126" spans="1:4">
      <c r="A126" s="16">
        <v>45808</v>
      </c>
      <c r="B126" s="98"/>
      <c r="C126" s="100"/>
      <c r="D126" s="95"/>
    </row>
    <row r="127" spans="1:4">
      <c r="A127" s="16">
        <v>45803</v>
      </c>
      <c r="B127" s="50" t="s">
        <v>796</v>
      </c>
      <c r="C127" s="7" t="s">
        <v>797</v>
      </c>
      <c r="D127" s="23">
        <v>1875</v>
      </c>
    </row>
    <row r="128" spans="1:4">
      <c r="A128" s="16">
        <v>45796</v>
      </c>
      <c r="B128" s="50" t="s">
        <v>798</v>
      </c>
      <c r="C128" s="7" t="s">
        <v>799</v>
      </c>
      <c r="D128" s="23">
        <v>65400</v>
      </c>
    </row>
    <row r="129" spans="1:4">
      <c r="A129" s="16">
        <v>45808</v>
      </c>
      <c r="B129" s="50" t="s">
        <v>800</v>
      </c>
      <c r="C129" s="7" t="s">
        <v>801</v>
      </c>
      <c r="D129" s="23">
        <v>17700</v>
      </c>
    </row>
    <row r="130" spans="1:4">
      <c r="A130" s="16">
        <v>45783</v>
      </c>
      <c r="B130" s="97" t="s">
        <v>823</v>
      </c>
      <c r="C130" s="99" t="s">
        <v>824</v>
      </c>
      <c r="D130" s="94">
        <v>13025</v>
      </c>
    </row>
    <row r="131" spans="1:4">
      <c r="A131" s="16">
        <v>45801</v>
      </c>
      <c r="B131" s="101"/>
      <c r="C131" s="102"/>
      <c r="D131" s="96"/>
    </row>
    <row r="132" spans="1:4">
      <c r="A132" s="16">
        <v>45806</v>
      </c>
      <c r="B132" s="98"/>
      <c r="C132" s="100"/>
      <c r="D132" s="95"/>
    </row>
    <row r="133" spans="1:4">
      <c r="A133" s="16">
        <v>45780</v>
      </c>
      <c r="B133" s="50" t="s">
        <v>825</v>
      </c>
      <c r="C133" s="7" t="s">
        <v>826</v>
      </c>
      <c r="D133" s="23">
        <v>54000</v>
      </c>
    </row>
    <row r="134" spans="1:4">
      <c r="A134" s="16">
        <v>45790</v>
      </c>
      <c r="B134" s="50" t="s">
        <v>838</v>
      </c>
      <c r="C134" s="7" t="s">
        <v>839</v>
      </c>
      <c r="D134" s="23">
        <v>24250</v>
      </c>
    </row>
    <row r="135" spans="1:4">
      <c r="A135" s="16">
        <v>45786</v>
      </c>
      <c r="B135" s="97" t="s">
        <v>845</v>
      </c>
      <c r="C135" s="99" t="s">
        <v>846</v>
      </c>
      <c r="D135" s="94">
        <v>21820</v>
      </c>
    </row>
    <row r="136" spans="1:4">
      <c r="A136" s="16">
        <v>45787</v>
      </c>
      <c r="B136" s="98"/>
      <c r="C136" s="100"/>
      <c r="D136" s="95"/>
    </row>
    <row r="137" spans="1:4">
      <c r="A137" s="16">
        <v>45808</v>
      </c>
      <c r="B137" s="50" t="s">
        <v>847</v>
      </c>
      <c r="C137" s="7" t="s">
        <v>848</v>
      </c>
      <c r="D137" s="23">
        <v>3600</v>
      </c>
    </row>
    <row r="138" spans="1:4">
      <c r="A138" s="16">
        <v>45803</v>
      </c>
      <c r="B138" s="50" t="s">
        <v>860</v>
      </c>
      <c r="C138" s="7" t="s">
        <v>861</v>
      </c>
      <c r="D138" s="23">
        <v>2940</v>
      </c>
    </row>
    <row r="139" spans="1:4">
      <c r="A139" s="16">
        <v>45790</v>
      </c>
      <c r="B139" s="50" t="s">
        <v>867</v>
      </c>
      <c r="C139" s="7" t="s">
        <v>868</v>
      </c>
      <c r="D139" s="23">
        <v>2450</v>
      </c>
    </row>
    <row r="140" spans="1:4">
      <c r="A140" s="16">
        <v>45798</v>
      </c>
      <c r="B140" s="97" t="s">
        <v>892</v>
      </c>
      <c r="C140" s="99" t="s">
        <v>893</v>
      </c>
      <c r="D140" s="94">
        <v>6760</v>
      </c>
    </row>
    <row r="141" spans="1:4">
      <c r="A141" s="16">
        <v>45799</v>
      </c>
      <c r="B141" s="98"/>
      <c r="C141" s="100"/>
      <c r="D141" s="95"/>
    </row>
    <row r="142" spans="1:4">
      <c r="A142" s="16">
        <v>45803</v>
      </c>
      <c r="B142" s="50" t="s">
        <v>898</v>
      </c>
      <c r="C142" s="7" t="s">
        <v>899</v>
      </c>
      <c r="D142" s="23">
        <v>6960</v>
      </c>
    </row>
    <row r="143" spans="1:4">
      <c r="A143" s="16">
        <v>45789</v>
      </c>
      <c r="B143" s="97" t="s">
        <v>910</v>
      </c>
      <c r="C143" s="99" t="s">
        <v>911</v>
      </c>
      <c r="D143" s="94">
        <v>4350</v>
      </c>
    </row>
    <row r="144" spans="1:4">
      <c r="A144" s="16">
        <v>45800</v>
      </c>
      <c r="B144" s="98"/>
      <c r="C144" s="100"/>
      <c r="D144" s="95"/>
    </row>
    <row r="145" spans="1:4">
      <c r="A145" s="17"/>
      <c r="B145" s="18" t="s">
        <v>918</v>
      </c>
      <c r="C145" s="7"/>
      <c r="D145" s="21">
        <v>2359357.56</v>
      </c>
    </row>
  </sheetData>
  <sortState xmlns:xlrd2="http://schemas.microsoft.com/office/spreadsheetml/2017/richdata2" ref="A4:C144">
    <sortCondition ref="B4:B144"/>
  </sortState>
  <mergeCells count="70">
    <mergeCell ref="A1:B1"/>
    <mergeCell ref="A2:B2"/>
    <mergeCell ref="B4:B5"/>
    <mergeCell ref="C4:C5"/>
    <mergeCell ref="B36:B40"/>
    <mergeCell ref="B29:B30"/>
    <mergeCell ref="B27:B28"/>
    <mergeCell ref="B14:B19"/>
    <mergeCell ref="C29:C30"/>
    <mergeCell ref="C36:C40"/>
    <mergeCell ref="C14:C19"/>
    <mergeCell ref="C20:C21"/>
    <mergeCell ref="C27:C28"/>
    <mergeCell ref="B55:B57"/>
    <mergeCell ref="C55:C57"/>
    <mergeCell ref="C65:C66"/>
    <mergeCell ref="B65:B66"/>
    <mergeCell ref="B42:B44"/>
    <mergeCell ref="C42:C44"/>
    <mergeCell ref="B88:B89"/>
    <mergeCell ref="C88:C89"/>
    <mergeCell ref="B90:B91"/>
    <mergeCell ref="C90:C91"/>
    <mergeCell ref="B72:B76"/>
    <mergeCell ref="C72:C76"/>
    <mergeCell ref="B82:B83"/>
    <mergeCell ref="C82:C83"/>
    <mergeCell ref="B105:B106"/>
    <mergeCell ref="C105:C106"/>
    <mergeCell ref="C116:C117"/>
    <mergeCell ref="B116:B117"/>
    <mergeCell ref="B93:B94"/>
    <mergeCell ref="C93:C94"/>
    <mergeCell ref="B95:B96"/>
    <mergeCell ref="C95:C96"/>
    <mergeCell ref="B130:B132"/>
    <mergeCell ref="C130:C132"/>
    <mergeCell ref="B135:B136"/>
    <mergeCell ref="C135:C136"/>
    <mergeCell ref="B119:B121"/>
    <mergeCell ref="C119:C121"/>
    <mergeCell ref="C124:C126"/>
    <mergeCell ref="B124:B126"/>
    <mergeCell ref="D143:D144"/>
    <mergeCell ref="D140:D141"/>
    <mergeCell ref="D135:D136"/>
    <mergeCell ref="B140:B141"/>
    <mergeCell ref="C140:C141"/>
    <mergeCell ref="B143:B144"/>
    <mergeCell ref="C143:C144"/>
    <mergeCell ref="D130:D132"/>
    <mergeCell ref="D124:D126"/>
    <mergeCell ref="D119:D121"/>
    <mergeCell ref="D116:D117"/>
    <mergeCell ref="D105:D106"/>
    <mergeCell ref="D95:D96"/>
    <mergeCell ref="D93:D94"/>
    <mergeCell ref="D90:D91"/>
    <mergeCell ref="D88:D89"/>
    <mergeCell ref="D82:D83"/>
    <mergeCell ref="D72:D76"/>
    <mergeCell ref="D65:D66"/>
    <mergeCell ref="D55:D57"/>
    <mergeCell ref="D42:D44"/>
    <mergeCell ref="D36:D40"/>
    <mergeCell ref="D29:D30"/>
    <mergeCell ref="D27:D28"/>
    <mergeCell ref="D20:D21"/>
    <mergeCell ref="D14:D19"/>
    <mergeCell ref="D4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1CAC-32BF-2149-8B57-975DBF9DF540}">
  <dimension ref="A1:D130"/>
  <sheetViews>
    <sheetView topLeftCell="A110" workbookViewId="0">
      <selection activeCell="B4" sqref="B4"/>
    </sheetView>
  </sheetViews>
  <sheetFormatPr defaultColWidth="8.85546875" defaultRowHeight="15"/>
  <cols>
    <col min="1" max="1" width="12" style="1" customWidth="1"/>
    <col min="2" max="2" width="53.7109375" style="1" customWidth="1"/>
    <col min="3" max="3" width="17.7109375" style="1" customWidth="1"/>
    <col min="4" max="4" width="11.42578125" style="22" customWidth="1"/>
    <col min="5" max="16384" width="8.85546875" style="1"/>
  </cols>
  <sheetData>
    <row r="1" spans="1:4" ht="15.75">
      <c r="A1" s="84" t="s">
        <v>912</v>
      </c>
      <c r="B1" s="84"/>
      <c r="C1" s="12"/>
      <c r="D1" s="19"/>
    </row>
    <row r="2" spans="1:4">
      <c r="A2" s="85" t="s">
        <v>920</v>
      </c>
      <c r="B2" s="85"/>
      <c r="C2" s="12"/>
      <c r="D2" s="19"/>
    </row>
    <row r="3" spans="1:4">
      <c r="A3" s="14" t="s">
        <v>914</v>
      </c>
      <c r="B3" s="15" t="s">
        <v>1</v>
      </c>
      <c r="C3" s="14" t="s">
        <v>2</v>
      </c>
      <c r="D3" s="14" t="s">
        <v>915</v>
      </c>
    </row>
    <row r="4" spans="1:4">
      <c r="A4" s="16">
        <v>45818</v>
      </c>
      <c r="B4" s="103" t="s">
        <v>37</v>
      </c>
      <c r="C4" s="85" t="s">
        <v>38</v>
      </c>
      <c r="D4" s="94">
        <v>22630</v>
      </c>
    </row>
    <row r="5" spans="1:4">
      <c r="A5" s="16">
        <v>45833</v>
      </c>
      <c r="B5" s="103"/>
      <c r="C5" s="85"/>
      <c r="D5" s="96"/>
    </row>
    <row r="6" spans="1:4">
      <c r="A6" s="16">
        <v>45834</v>
      </c>
      <c r="B6" s="103"/>
      <c r="C6" s="85"/>
      <c r="D6" s="95"/>
    </row>
    <row r="7" spans="1:4">
      <c r="A7" s="16">
        <v>45838</v>
      </c>
      <c r="B7" s="50" t="s">
        <v>50</v>
      </c>
      <c r="C7" s="7" t="s">
        <v>51</v>
      </c>
      <c r="D7" s="25">
        <v>30000</v>
      </c>
    </row>
    <row r="8" spans="1:4">
      <c r="A8" s="16">
        <v>45819</v>
      </c>
      <c r="B8" s="50" t="s">
        <v>70</v>
      </c>
      <c r="C8" s="7" t="s">
        <v>71</v>
      </c>
      <c r="D8" s="25">
        <v>21801.5</v>
      </c>
    </row>
    <row r="9" spans="1:4">
      <c r="A9" s="16">
        <v>45813</v>
      </c>
      <c r="B9" s="50" t="s">
        <v>76</v>
      </c>
      <c r="C9" s="7" t="s">
        <v>77</v>
      </c>
      <c r="D9" s="25">
        <v>5800</v>
      </c>
    </row>
    <row r="10" spans="1:4">
      <c r="A10" s="16">
        <v>45832</v>
      </c>
      <c r="B10" s="50" t="s">
        <v>81</v>
      </c>
      <c r="C10" s="7"/>
      <c r="D10" s="25">
        <v>2450</v>
      </c>
    </row>
    <row r="11" spans="1:4">
      <c r="A11" s="16">
        <v>45827</v>
      </c>
      <c r="B11" s="97" t="s">
        <v>84</v>
      </c>
      <c r="C11" s="99" t="s">
        <v>85</v>
      </c>
      <c r="D11" s="94">
        <v>7236.1</v>
      </c>
    </row>
    <row r="12" spans="1:4">
      <c r="A12" s="16">
        <v>45832</v>
      </c>
      <c r="B12" s="98"/>
      <c r="C12" s="100"/>
      <c r="D12" s="95"/>
    </row>
    <row r="13" spans="1:4">
      <c r="A13" s="16">
        <v>45836</v>
      </c>
      <c r="B13" s="50" t="s">
        <v>123</v>
      </c>
      <c r="C13" s="7" t="s">
        <v>124</v>
      </c>
      <c r="D13" s="13"/>
    </row>
    <row r="14" spans="1:4">
      <c r="A14" s="16">
        <v>45812</v>
      </c>
      <c r="B14" s="97" t="s">
        <v>136</v>
      </c>
      <c r="C14" s="99" t="s">
        <v>137</v>
      </c>
      <c r="D14" s="94">
        <v>51170</v>
      </c>
    </row>
    <row r="15" spans="1:4">
      <c r="A15" s="16">
        <v>45824</v>
      </c>
      <c r="B15" s="98"/>
      <c r="C15" s="100"/>
      <c r="D15" s="95"/>
    </row>
    <row r="16" spans="1:4">
      <c r="A16" s="16">
        <v>45811</v>
      </c>
      <c r="B16" s="97" t="s">
        <v>145</v>
      </c>
      <c r="C16" s="99" t="s">
        <v>146</v>
      </c>
      <c r="D16" s="94">
        <v>164330</v>
      </c>
    </row>
    <row r="17" spans="1:4">
      <c r="A17" s="16">
        <v>45815</v>
      </c>
      <c r="B17" s="101"/>
      <c r="C17" s="102"/>
      <c r="D17" s="96"/>
    </row>
    <row r="18" spans="1:4">
      <c r="A18" s="16">
        <v>45826</v>
      </c>
      <c r="B18" s="101"/>
      <c r="C18" s="102"/>
      <c r="D18" s="96"/>
    </row>
    <row r="19" spans="1:4">
      <c r="A19" s="16">
        <v>45831</v>
      </c>
      <c r="B19" s="98"/>
      <c r="C19" s="100"/>
      <c r="D19" s="95"/>
    </row>
    <row r="20" spans="1:4">
      <c r="A20" s="16">
        <v>45815</v>
      </c>
      <c r="B20" s="97" t="s">
        <v>147</v>
      </c>
      <c r="C20" s="99" t="s">
        <v>148</v>
      </c>
      <c r="D20" s="94">
        <v>9864</v>
      </c>
    </row>
    <row r="21" spans="1:4">
      <c r="A21" s="16">
        <v>45822</v>
      </c>
      <c r="B21" s="101"/>
      <c r="C21" s="102"/>
      <c r="D21" s="96"/>
    </row>
    <row r="22" spans="1:4">
      <c r="A22" s="16">
        <v>45825</v>
      </c>
      <c r="B22" s="98"/>
      <c r="C22" s="100"/>
      <c r="D22" s="95"/>
    </row>
    <row r="23" spans="1:4">
      <c r="A23" s="16">
        <v>45818</v>
      </c>
      <c r="B23" s="50" t="s">
        <v>153</v>
      </c>
      <c r="C23" s="7" t="s">
        <v>154</v>
      </c>
      <c r="D23" s="25">
        <v>49383.75</v>
      </c>
    </row>
    <row r="24" spans="1:4">
      <c r="A24" s="16">
        <v>45821</v>
      </c>
      <c r="B24" s="97" t="s">
        <v>174</v>
      </c>
      <c r="C24" s="99"/>
      <c r="D24" s="94">
        <v>6365</v>
      </c>
    </row>
    <row r="25" spans="1:4">
      <c r="A25" s="16">
        <v>45833</v>
      </c>
      <c r="B25" s="98"/>
      <c r="C25" s="100"/>
      <c r="D25" s="95"/>
    </row>
    <row r="26" spans="1:4">
      <c r="A26" s="16">
        <v>45822</v>
      </c>
      <c r="B26" s="50" t="s">
        <v>178</v>
      </c>
      <c r="C26" s="7" t="s">
        <v>179</v>
      </c>
      <c r="D26" s="25">
        <v>1650</v>
      </c>
    </row>
    <row r="27" spans="1:4">
      <c r="A27" s="16">
        <v>45811</v>
      </c>
      <c r="B27" s="50" t="s">
        <v>202</v>
      </c>
      <c r="C27" s="7" t="s">
        <v>203</v>
      </c>
      <c r="D27" s="25">
        <v>3000</v>
      </c>
    </row>
    <row r="28" spans="1:4">
      <c r="A28" s="16">
        <v>45819</v>
      </c>
      <c r="B28" s="50" t="s">
        <v>213</v>
      </c>
      <c r="C28" s="7" t="s">
        <v>214</v>
      </c>
      <c r="D28" s="25">
        <v>64050</v>
      </c>
    </row>
    <row r="29" spans="1:4">
      <c r="A29" s="16">
        <v>45813</v>
      </c>
      <c r="B29" s="97" t="s">
        <v>215</v>
      </c>
      <c r="C29" s="99" t="s">
        <v>216</v>
      </c>
      <c r="D29" s="94">
        <v>8275</v>
      </c>
    </row>
    <row r="30" spans="1:4">
      <c r="A30" s="16">
        <v>45829</v>
      </c>
      <c r="B30" s="98"/>
      <c r="C30" s="100"/>
      <c r="D30" s="95"/>
    </row>
    <row r="31" spans="1:4">
      <c r="A31" s="16">
        <v>45838</v>
      </c>
      <c r="B31" s="50" t="s">
        <v>221</v>
      </c>
      <c r="C31" s="7"/>
      <c r="D31" s="25">
        <v>4020</v>
      </c>
    </row>
    <row r="32" spans="1:4">
      <c r="A32" s="16">
        <v>45825</v>
      </c>
      <c r="B32" s="50" t="s">
        <v>222</v>
      </c>
      <c r="C32" s="7"/>
      <c r="D32" s="25">
        <v>8000</v>
      </c>
    </row>
    <row r="33" spans="1:4">
      <c r="A33" s="16">
        <v>45815</v>
      </c>
      <c r="B33" s="50" t="s">
        <v>227</v>
      </c>
      <c r="C33" s="7"/>
      <c r="D33" s="25">
        <v>2300</v>
      </c>
    </row>
    <row r="34" spans="1:4">
      <c r="A34" s="16">
        <v>45831</v>
      </c>
      <c r="B34" s="50" t="s">
        <v>232</v>
      </c>
      <c r="C34" s="7" t="s">
        <v>233</v>
      </c>
      <c r="D34" s="25">
        <v>17240</v>
      </c>
    </row>
    <row r="35" spans="1:4">
      <c r="A35" s="16">
        <v>45822</v>
      </c>
      <c r="B35" s="97" t="s">
        <v>273</v>
      </c>
      <c r="C35" s="99" t="s">
        <v>274</v>
      </c>
      <c r="D35" s="94">
        <v>150700</v>
      </c>
    </row>
    <row r="36" spans="1:4">
      <c r="A36" s="16">
        <v>45829</v>
      </c>
      <c r="B36" s="101"/>
      <c r="C36" s="102"/>
      <c r="D36" s="96"/>
    </row>
    <row r="37" spans="1:4">
      <c r="A37" s="16">
        <v>45831</v>
      </c>
      <c r="B37" s="98"/>
      <c r="C37" s="100"/>
      <c r="D37" s="95"/>
    </row>
    <row r="38" spans="1:4">
      <c r="A38" s="16">
        <v>45822</v>
      </c>
      <c r="B38" s="50" t="s">
        <v>280</v>
      </c>
      <c r="C38" s="7" t="s">
        <v>281</v>
      </c>
      <c r="D38" s="13"/>
    </row>
    <row r="39" spans="1:4">
      <c r="A39" s="16">
        <v>45812</v>
      </c>
      <c r="B39" s="97" t="s">
        <v>288</v>
      </c>
      <c r="C39" s="99" t="s">
        <v>289</v>
      </c>
      <c r="D39" s="94">
        <v>20600</v>
      </c>
    </row>
    <row r="40" spans="1:4">
      <c r="A40" s="16">
        <v>45819</v>
      </c>
      <c r="B40" s="101"/>
      <c r="C40" s="102"/>
      <c r="D40" s="96"/>
    </row>
    <row r="41" spans="1:4">
      <c r="A41" s="16">
        <v>45822</v>
      </c>
      <c r="B41" s="101"/>
      <c r="C41" s="102"/>
      <c r="D41" s="96"/>
    </row>
    <row r="42" spans="1:4">
      <c r="A42" s="16">
        <v>45824</v>
      </c>
      <c r="B42" s="98"/>
      <c r="C42" s="100"/>
      <c r="D42" s="95"/>
    </row>
    <row r="43" spans="1:4">
      <c r="A43" s="16">
        <v>45814</v>
      </c>
      <c r="B43" s="50" t="s">
        <v>294</v>
      </c>
      <c r="C43" s="7" t="s">
        <v>295</v>
      </c>
      <c r="D43" s="25">
        <v>2860</v>
      </c>
    </row>
    <row r="44" spans="1:4">
      <c r="A44" s="16">
        <v>45838</v>
      </c>
      <c r="B44" s="50" t="s">
        <v>302</v>
      </c>
      <c r="C44" s="7"/>
      <c r="D44" s="25">
        <v>5000</v>
      </c>
    </row>
    <row r="45" spans="1:4">
      <c r="A45" s="16">
        <v>45824</v>
      </c>
      <c r="B45" s="50" t="s">
        <v>305</v>
      </c>
      <c r="C45" s="7" t="s">
        <v>306</v>
      </c>
      <c r="D45" s="25">
        <v>1800</v>
      </c>
    </row>
    <row r="46" spans="1:4">
      <c r="A46" s="16">
        <v>45811</v>
      </c>
      <c r="B46" s="97" t="s">
        <v>336</v>
      </c>
      <c r="C46" s="99" t="s">
        <v>337</v>
      </c>
      <c r="D46" s="94">
        <v>14070</v>
      </c>
    </row>
    <row r="47" spans="1:4">
      <c r="A47" s="16">
        <v>45834</v>
      </c>
      <c r="B47" s="98"/>
      <c r="C47" s="100"/>
      <c r="D47" s="95"/>
    </row>
    <row r="48" spans="1:4">
      <c r="A48" s="16">
        <v>45814</v>
      </c>
      <c r="B48" s="50" t="s">
        <v>351</v>
      </c>
      <c r="C48" s="7" t="s">
        <v>352</v>
      </c>
      <c r="D48" s="23">
        <v>38680</v>
      </c>
    </row>
    <row r="49" spans="1:4">
      <c r="A49" s="16">
        <v>45820</v>
      </c>
      <c r="B49" s="97" t="s">
        <v>353</v>
      </c>
      <c r="C49" s="99" t="s">
        <v>354</v>
      </c>
      <c r="D49" s="94">
        <v>44118</v>
      </c>
    </row>
    <row r="50" spans="1:4">
      <c r="A50" s="16">
        <v>45820</v>
      </c>
      <c r="B50" s="101"/>
      <c r="C50" s="102"/>
      <c r="D50" s="96"/>
    </row>
    <row r="51" spans="1:4">
      <c r="A51" s="16">
        <v>45820</v>
      </c>
      <c r="B51" s="101"/>
      <c r="C51" s="102"/>
      <c r="D51" s="96"/>
    </row>
    <row r="52" spans="1:4">
      <c r="A52" s="16">
        <v>45822</v>
      </c>
      <c r="B52" s="101"/>
      <c r="C52" s="102"/>
      <c r="D52" s="96"/>
    </row>
    <row r="53" spans="1:4">
      <c r="A53" s="16">
        <v>45826</v>
      </c>
      <c r="B53" s="98"/>
      <c r="C53" s="100"/>
      <c r="D53" s="95"/>
    </row>
    <row r="54" spans="1:4">
      <c r="A54" s="16">
        <v>45831</v>
      </c>
      <c r="B54" s="50" t="s">
        <v>368</v>
      </c>
      <c r="C54" s="7" t="s">
        <v>369</v>
      </c>
      <c r="D54" s="23">
        <v>1930</v>
      </c>
    </row>
    <row r="55" spans="1:4">
      <c r="A55" s="16">
        <v>45824</v>
      </c>
      <c r="B55" s="50" t="s">
        <v>376</v>
      </c>
      <c r="C55" s="7" t="s">
        <v>377</v>
      </c>
      <c r="D55" s="23">
        <v>3375</v>
      </c>
    </row>
    <row r="56" spans="1:4">
      <c r="A56" s="16">
        <v>45825</v>
      </c>
      <c r="B56" s="97" t="s">
        <v>395</v>
      </c>
      <c r="C56" s="99" t="s">
        <v>396</v>
      </c>
      <c r="D56" s="94">
        <v>105000</v>
      </c>
    </row>
    <row r="57" spans="1:4">
      <c r="A57" s="16">
        <v>45833</v>
      </c>
      <c r="B57" s="98"/>
      <c r="C57" s="100"/>
      <c r="D57" s="95"/>
    </row>
    <row r="58" spans="1:4">
      <c r="A58" s="16">
        <v>45824</v>
      </c>
      <c r="B58" s="50" t="s">
        <v>397</v>
      </c>
      <c r="C58" s="7"/>
      <c r="D58" s="23">
        <v>362</v>
      </c>
    </row>
    <row r="59" spans="1:4">
      <c r="A59" s="16">
        <v>45832</v>
      </c>
      <c r="B59" s="50" t="s">
        <v>402</v>
      </c>
      <c r="C59" s="7" t="s">
        <v>403</v>
      </c>
      <c r="D59" s="23">
        <v>5720</v>
      </c>
    </row>
    <row r="60" spans="1:4">
      <c r="A60" s="16">
        <v>45833</v>
      </c>
      <c r="B60" s="50" t="s">
        <v>410</v>
      </c>
      <c r="C60" s="7" t="s">
        <v>411</v>
      </c>
      <c r="D60" s="23">
        <v>3900</v>
      </c>
    </row>
    <row r="61" spans="1:4">
      <c r="A61" s="16">
        <v>45838</v>
      </c>
      <c r="B61" s="50" t="s">
        <v>429</v>
      </c>
      <c r="C61" s="7" t="s">
        <v>430</v>
      </c>
      <c r="D61" s="23">
        <v>24100</v>
      </c>
    </row>
    <row r="62" spans="1:4">
      <c r="A62" s="16">
        <v>45812</v>
      </c>
      <c r="B62" s="97" t="s">
        <v>442</v>
      </c>
      <c r="C62" s="99" t="s">
        <v>443</v>
      </c>
      <c r="D62" s="94">
        <v>241500</v>
      </c>
    </row>
    <row r="63" spans="1:4">
      <c r="A63" s="16">
        <v>45814</v>
      </c>
      <c r="B63" s="98"/>
      <c r="C63" s="100"/>
      <c r="D63" s="95"/>
    </row>
    <row r="64" spans="1:4">
      <c r="A64" s="16">
        <v>45826</v>
      </c>
      <c r="B64" s="50" t="s">
        <v>446</v>
      </c>
      <c r="C64" s="7" t="s">
        <v>447</v>
      </c>
      <c r="D64" s="23">
        <v>2100</v>
      </c>
    </row>
    <row r="65" spans="1:4">
      <c r="A65" s="16">
        <v>45831</v>
      </c>
      <c r="B65" s="50" t="s">
        <v>454</v>
      </c>
      <c r="C65" s="7" t="s">
        <v>455</v>
      </c>
      <c r="D65" s="23">
        <v>7010</v>
      </c>
    </row>
    <row r="66" spans="1:4">
      <c r="A66" s="16">
        <v>45832</v>
      </c>
      <c r="B66" s="50" t="s">
        <v>456</v>
      </c>
      <c r="C66" s="7" t="s">
        <v>457</v>
      </c>
      <c r="D66" s="23">
        <v>23000</v>
      </c>
    </row>
    <row r="67" spans="1:4">
      <c r="A67" s="16">
        <v>45818</v>
      </c>
      <c r="B67" s="97" t="s">
        <v>464</v>
      </c>
      <c r="C67" s="99" t="s">
        <v>465</v>
      </c>
      <c r="D67" s="94">
        <v>43130</v>
      </c>
    </row>
    <row r="68" spans="1:4">
      <c r="A68" s="16">
        <v>45819</v>
      </c>
      <c r="B68" s="101"/>
      <c r="C68" s="102"/>
      <c r="D68" s="96"/>
    </row>
    <row r="69" spans="1:4">
      <c r="A69" s="16">
        <v>45824</v>
      </c>
      <c r="B69" s="101"/>
      <c r="C69" s="102"/>
      <c r="D69" s="96"/>
    </row>
    <row r="70" spans="1:4">
      <c r="A70" s="16">
        <v>45826</v>
      </c>
      <c r="B70" s="101"/>
      <c r="C70" s="102"/>
      <c r="D70" s="96"/>
    </row>
    <row r="71" spans="1:4">
      <c r="A71" s="16">
        <v>45826</v>
      </c>
      <c r="B71" s="98"/>
      <c r="C71" s="100"/>
      <c r="D71" s="95"/>
    </row>
    <row r="72" spans="1:4">
      <c r="A72" s="16">
        <v>45811</v>
      </c>
      <c r="B72" s="50" t="s">
        <v>468</v>
      </c>
      <c r="C72" s="7" t="s">
        <v>469</v>
      </c>
      <c r="D72" s="23">
        <v>4200</v>
      </c>
    </row>
    <row r="73" spans="1:4">
      <c r="A73" s="16">
        <v>45814</v>
      </c>
      <c r="B73" s="50" t="s">
        <v>494</v>
      </c>
      <c r="C73" s="7"/>
      <c r="D73" s="23">
        <v>1140</v>
      </c>
    </row>
    <row r="74" spans="1:4">
      <c r="A74" s="16">
        <v>45828</v>
      </c>
      <c r="B74" s="50" t="s">
        <v>498</v>
      </c>
      <c r="C74" s="7"/>
      <c r="D74" s="23">
        <v>451753.2</v>
      </c>
    </row>
    <row r="75" spans="1:4">
      <c r="A75" s="16">
        <v>45817</v>
      </c>
      <c r="B75" s="50" t="s">
        <v>499</v>
      </c>
      <c r="C75" s="7" t="s">
        <v>500</v>
      </c>
      <c r="D75" s="23">
        <v>38395</v>
      </c>
    </row>
    <row r="76" spans="1:4">
      <c r="A76" s="16">
        <v>45831</v>
      </c>
      <c r="B76" s="50" t="s">
        <v>507</v>
      </c>
      <c r="C76" s="7"/>
      <c r="D76" s="23">
        <v>7800</v>
      </c>
    </row>
    <row r="77" spans="1:4">
      <c r="A77" s="16">
        <v>45810</v>
      </c>
      <c r="B77" s="50" t="s">
        <v>513</v>
      </c>
      <c r="C77" s="7" t="s">
        <v>514</v>
      </c>
      <c r="D77" s="23">
        <v>3000</v>
      </c>
    </row>
    <row r="78" spans="1:4">
      <c r="A78" s="16">
        <v>45822</v>
      </c>
      <c r="B78" s="97" t="s">
        <v>526</v>
      </c>
      <c r="C78" s="99" t="s">
        <v>527</v>
      </c>
      <c r="D78" s="94">
        <v>29415</v>
      </c>
    </row>
    <row r="79" spans="1:4">
      <c r="A79" s="16">
        <v>45833</v>
      </c>
      <c r="B79" s="98"/>
      <c r="C79" s="100"/>
      <c r="D79" s="95"/>
    </row>
    <row r="80" spans="1:4">
      <c r="A80" s="16">
        <v>45836</v>
      </c>
      <c r="B80" s="50" t="s">
        <v>536</v>
      </c>
      <c r="C80" s="7"/>
      <c r="D80" s="23">
        <v>2950</v>
      </c>
    </row>
    <row r="81" spans="1:4">
      <c r="A81" s="16">
        <v>45836</v>
      </c>
      <c r="B81" s="97" t="s">
        <v>538</v>
      </c>
      <c r="C81" s="99" t="s">
        <v>539</v>
      </c>
      <c r="D81" s="94">
        <v>5220</v>
      </c>
    </row>
    <row r="82" spans="1:4">
      <c r="A82" s="16">
        <v>45838</v>
      </c>
      <c r="B82" s="98"/>
      <c r="C82" s="100"/>
      <c r="D82" s="95"/>
    </row>
    <row r="83" spans="1:4">
      <c r="A83" s="16">
        <v>45819</v>
      </c>
      <c r="B83" s="50" t="s">
        <v>545</v>
      </c>
      <c r="C83" s="7" t="s">
        <v>546</v>
      </c>
      <c r="D83" s="23">
        <v>4400</v>
      </c>
    </row>
    <row r="84" spans="1:4">
      <c r="A84" s="16">
        <v>45836</v>
      </c>
      <c r="B84" s="50" t="s">
        <v>550</v>
      </c>
      <c r="C84" s="7" t="s">
        <v>551</v>
      </c>
      <c r="D84" s="23">
        <v>6200</v>
      </c>
    </row>
    <row r="85" spans="1:4">
      <c r="A85" s="16">
        <v>45810</v>
      </c>
      <c r="B85" s="97" t="s">
        <v>552</v>
      </c>
      <c r="C85" s="99" t="s">
        <v>553</v>
      </c>
      <c r="D85" s="94">
        <v>48075</v>
      </c>
    </row>
    <row r="86" spans="1:4">
      <c r="A86" s="16">
        <v>45825</v>
      </c>
      <c r="B86" s="101"/>
      <c r="C86" s="102"/>
      <c r="D86" s="96"/>
    </row>
    <row r="87" spans="1:4">
      <c r="A87" s="16">
        <v>45832</v>
      </c>
      <c r="B87" s="98"/>
      <c r="C87" s="100"/>
      <c r="D87" s="95"/>
    </row>
    <row r="88" spans="1:4">
      <c r="A88" s="16">
        <v>45831</v>
      </c>
      <c r="B88" s="50" t="s">
        <v>574</v>
      </c>
      <c r="C88" s="7" t="s">
        <v>575</v>
      </c>
      <c r="D88" s="23">
        <v>47920</v>
      </c>
    </row>
    <row r="89" spans="1:4">
      <c r="A89" s="16">
        <v>45817</v>
      </c>
      <c r="B89" s="97" t="s">
        <v>588</v>
      </c>
      <c r="C89" s="99"/>
      <c r="D89" s="94">
        <v>4900</v>
      </c>
    </row>
    <row r="90" spans="1:4">
      <c r="A90" s="16">
        <v>45831</v>
      </c>
      <c r="B90" s="98"/>
      <c r="C90" s="100"/>
      <c r="D90" s="95"/>
    </row>
    <row r="91" spans="1:4">
      <c r="A91" s="16">
        <v>45821</v>
      </c>
      <c r="B91" s="50" t="s">
        <v>627</v>
      </c>
      <c r="C91" s="7" t="s">
        <v>628</v>
      </c>
      <c r="D91" s="23">
        <v>4800</v>
      </c>
    </row>
    <row r="92" spans="1:4">
      <c r="A92" s="16">
        <v>45820</v>
      </c>
      <c r="B92" s="50" t="s">
        <v>631</v>
      </c>
      <c r="C92" s="7"/>
      <c r="D92" s="23">
        <v>2500.4</v>
      </c>
    </row>
    <row r="93" spans="1:4">
      <c r="A93" s="16">
        <v>45824</v>
      </c>
      <c r="B93" s="50" t="s">
        <v>645</v>
      </c>
      <c r="C93" s="7" t="s">
        <v>646</v>
      </c>
      <c r="D93" s="23">
        <v>9360</v>
      </c>
    </row>
    <row r="94" spans="1:4">
      <c r="A94" s="16">
        <v>45818</v>
      </c>
      <c r="B94" s="50" t="s">
        <v>650</v>
      </c>
      <c r="C94" s="7" t="s">
        <v>651</v>
      </c>
      <c r="D94" s="23">
        <v>24960</v>
      </c>
    </row>
    <row r="95" spans="1:4">
      <c r="A95" s="16">
        <v>45810</v>
      </c>
      <c r="B95" s="97" t="s">
        <v>655</v>
      </c>
      <c r="C95" s="99" t="s">
        <v>656</v>
      </c>
      <c r="D95" s="94">
        <v>45650</v>
      </c>
    </row>
    <row r="96" spans="1:4">
      <c r="A96" s="16">
        <v>45818</v>
      </c>
      <c r="B96" s="101"/>
      <c r="C96" s="102"/>
      <c r="D96" s="96"/>
    </row>
    <row r="97" spans="1:4">
      <c r="A97" s="16">
        <v>45834</v>
      </c>
      <c r="B97" s="101"/>
      <c r="C97" s="102"/>
      <c r="D97" s="96"/>
    </row>
    <row r="98" spans="1:4">
      <c r="A98" s="16">
        <v>45835</v>
      </c>
      <c r="B98" s="101"/>
      <c r="C98" s="102"/>
      <c r="D98" s="96"/>
    </row>
    <row r="99" spans="1:4">
      <c r="A99" s="16">
        <v>45838</v>
      </c>
      <c r="B99" s="98"/>
      <c r="C99" s="100"/>
      <c r="D99" s="95"/>
    </row>
    <row r="100" spans="1:4">
      <c r="A100" s="16">
        <v>45825</v>
      </c>
      <c r="B100" s="50" t="s">
        <v>678</v>
      </c>
      <c r="C100" s="7" t="s">
        <v>663</v>
      </c>
      <c r="D100" s="23">
        <v>3150</v>
      </c>
    </row>
    <row r="101" spans="1:4">
      <c r="A101" s="16">
        <v>45833</v>
      </c>
      <c r="B101" s="50" t="s">
        <v>679</v>
      </c>
      <c r="C101" s="7" t="s">
        <v>663</v>
      </c>
      <c r="D101" s="23">
        <v>3500</v>
      </c>
    </row>
    <row r="102" spans="1:4">
      <c r="A102" s="16">
        <v>45811</v>
      </c>
      <c r="B102" s="97" t="s">
        <v>680</v>
      </c>
      <c r="C102" s="99" t="s">
        <v>681</v>
      </c>
      <c r="D102" s="94">
        <v>18700</v>
      </c>
    </row>
    <row r="103" spans="1:4">
      <c r="A103" s="16">
        <v>45827</v>
      </c>
      <c r="B103" s="101"/>
      <c r="C103" s="102"/>
      <c r="D103" s="96"/>
    </row>
    <row r="104" spans="1:4">
      <c r="A104" s="16">
        <v>45834</v>
      </c>
      <c r="B104" s="98"/>
      <c r="C104" s="100"/>
      <c r="D104" s="95"/>
    </row>
    <row r="105" spans="1:4">
      <c r="A105" s="16">
        <v>45833</v>
      </c>
      <c r="B105" s="50" t="s">
        <v>685</v>
      </c>
      <c r="C105" s="7" t="s">
        <v>686</v>
      </c>
      <c r="D105" s="23">
        <v>41200</v>
      </c>
    </row>
    <row r="106" spans="1:4">
      <c r="A106" s="16">
        <v>45835</v>
      </c>
      <c r="B106" s="50" t="s">
        <v>705</v>
      </c>
      <c r="C106" s="7" t="s">
        <v>706</v>
      </c>
      <c r="D106" s="23">
        <v>1960</v>
      </c>
    </row>
    <row r="107" spans="1:4">
      <c r="A107" s="16">
        <v>45827</v>
      </c>
      <c r="B107" s="50" t="s">
        <v>709</v>
      </c>
      <c r="C107" s="7"/>
      <c r="D107" s="23">
        <v>1870</v>
      </c>
    </row>
    <row r="108" spans="1:4">
      <c r="A108" s="16">
        <v>45818</v>
      </c>
      <c r="B108" s="50" t="s">
        <v>710</v>
      </c>
      <c r="C108" s="7"/>
      <c r="D108" s="23">
        <v>2160</v>
      </c>
    </row>
    <row r="109" spans="1:4">
      <c r="A109" s="16">
        <v>45836</v>
      </c>
      <c r="B109" s="50" t="s">
        <v>747</v>
      </c>
      <c r="C109" s="7" t="s">
        <v>748</v>
      </c>
      <c r="D109" s="23">
        <v>20200</v>
      </c>
    </row>
    <row r="110" spans="1:4">
      <c r="A110" s="16">
        <v>45838</v>
      </c>
      <c r="B110" s="50" t="s">
        <v>758</v>
      </c>
      <c r="C110" s="7" t="s">
        <v>759</v>
      </c>
      <c r="D110" s="23">
        <v>228000</v>
      </c>
    </row>
    <row r="111" spans="1:4">
      <c r="A111" s="16">
        <v>45831</v>
      </c>
      <c r="B111" s="50" t="s">
        <v>764</v>
      </c>
      <c r="C111" s="7" t="s">
        <v>765</v>
      </c>
      <c r="D111" s="23">
        <v>9000</v>
      </c>
    </row>
    <row r="112" spans="1:4">
      <c r="A112" s="16">
        <v>45812</v>
      </c>
      <c r="B112" s="50" t="s">
        <v>921</v>
      </c>
      <c r="C112" s="7" t="s">
        <v>922</v>
      </c>
      <c r="D112" s="23">
        <v>58320</v>
      </c>
    </row>
    <row r="113" spans="1:4">
      <c r="A113" s="16">
        <v>45821</v>
      </c>
      <c r="B113" s="97" t="s">
        <v>776</v>
      </c>
      <c r="C113" s="99" t="s">
        <v>777</v>
      </c>
      <c r="D113" s="94">
        <v>30480</v>
      </c>
    </row>
    <row r="114" spans="1:4">
      <c r="A114" s="16">
        <v>45826</v>
      </c>
      <c r="B114" s="98"/>
      <c r="C114" s="100"/>
      <c r="D114" s="95"/>
    </row>
    <row r="115" spans="1:4">
      <c r="A115" s="16">
        <v>45834</v>
      </c>
      <c r="B115" s="50" t="s">
        <v>817</v>
      </c>
      <c r="C115" s="7" t="s">
        <v>818</v>
      </c>
      <c r="D115" s="23">
        <v>39630</v>
      </c>
    </row>
    <row r="116" spans="1:4">
      <c r="A116" s="16">
        <v>45810</v>
      </c>
      <c r="B116" s="97" t="s">
        <v>823</v>
      </c>
      <c r="C116" s="99" t="s">
        <v>824</v>
      </c>
      <c r="D116" s="94">
        <v>12442.5</v>
      </c>
    </row>
    <row r="117" spans="1:4">
      <c r="A117" s="16">
        <v>45815</v>
      </c>
      <c r="B117" s="101"/>
      <c r="C117" s="102"/>
      <c r="D117" s="96"/>
    </row>
    <row r="118" spans="1:4">
      <c r="A118" s="16">
        <v>45815</v>
      </c>
      <c r="B118" s="101"/>
      <c r="C118" s="102"/>
      <c r="D118" s="96"/>
    </row>
    <row r="119" spans="1:4">
      <c r="A119" s="16">
        <v>45831</v>
      </c>
      <c r="B119" s="98"/>
      <c r="C119" s="100"/>
      <c r="D119" s="95"/>
    </row>
    <row r="120" spans="1:4">
      <c r="A120" s="16">
        <v>45818</v>
      </c>
      <c r="B120" s="50" t="s">
        <v>825</v>
      </c>
      <c r="C120" s="7" t="s">
        <v>826</v>
      </c>
      <c r="D120" s="23">
        <v>54000</v>
      </c>
    </row>
    <row r="121" spans="1:4">
      <c r="A121" s="16">
        <v>45819</v>
      </c>
      <c r="B121" s="97" t="s">
        <v>838</v>
      </c>
      <c r="C121" s="99" t="s">
        <v>839</v>
      </c>
      <c r="D121" s="94">
        <v>11654</v>
      </c>
    </row>
    <row r="122" spans="1:4">
      <c r="A122" s="16">
        <v>45827</v>
      </c>
      <c r="B122" s="98"/>
      <c r="C122" s="100"/>
      <c r="D122" s="95"/>
    </row>
    <row r="123" spans="1:4">
      <c r="A123" s="16">
        <v>45817</v>
      </c>
      <c r="B123" s="50" t="s">
        <v>845</v>
      </c>
      <c r="C123" s="7" t="s">
        <v>846</v>
      </c>
      <c r="D123" s="23">
        <v>18130</v>
      </c>
    </row>
    <row r="124" spans="1:4">
      <c r="A124" s="16">
        <v>45819</v>
      </c>
      <c r="B124" s="50" t="s">
        <v>847</v>
      </c>
      <c r="C124" s="7" t="s">
        <v>848</v>
      </c>
      <c r="D124" s="23">
        <v>16320</v>
      </c>
    </row>
    <row r="125" spans="1:4">
      <c r="A125" s="16">
        <v>45831</v>
      </c>
      <c r="B125" s="50" t="s">
        <v>851</v>
      </c>
      <c r="C125" s="7"/>
      <c r="D125" s="23">
        <v>2125</v>
      </c>
    </row>
    <row r="126" spans="1:4">
      <c r="A126" s="16">
        <v>45815</v>
      </c>
      <c r="B126" s="50" t="s">
        <v>860</v>
      </c>
      <c r="C126" s="7" t="s">
        <v>861</v>
      </c>
      <c r="D126" s="23">
        <v>2940</v>
      </c>
    </row>
    <row r="127" spans="1:4">
      <c r="A127" s="16">
        <v>45818</v>
      </c>
      <c r="B127" s="50" t="s">
        <v>864</v>
      </c>
      <c r="C127" s="7" t="s">
        <v>865</v>
      </c>
      <c r="D127" s="23">
        <v>3500</v>
      </c>
    </row>
    <row r="128" spans="1:4">
      <c r="A128" s="16">
        <v>45811</v>
      </c>
      <c r="B128" s="50" t="s">
        <v>876</v>
      </c>
      <c r="C128" s="7" t="s">
        <v>877</v>
      </c>
      <c r="D128" s="23">
        <v>6450</v>
      </c>
    </row>
    <row r="129" spans="1:4">
      <c r="A129" s="16">
        <v>45835</v>
      </c>
      <c r="B129" s="50" t="s">
        <v>906</v>
      </c>
      <c r="C129" s="7"/>
      <c r="D129" s="23">
        <v>2071.5</v>
      </c>
    </row>
    <row r="130" spans="1:4">
      <c r="A130" s="17"/>
      <c r="B130" s="18" t="s">
        <v>918</v>
      </c>
      <c r="C130" s="7"/>
      <c r="D130" s="21">
        <f>SUM(D4:D129)</f>
        <v>2548961.9500000002</v>
      </c>
    </row>
  </sheetData>
  <sortState xmlns:xlrd2="http://schemas.microsoft.com/office/spreadsheetml/2017/richdata2" ref="A4:C129">
    <sortCondition ref="B4:B129"/>
  </sortState>
  <mergeCells count="71">
    <mergeCell ref="A1:B1"/>
    <mergeCell ref="A2:B2"/>
    <mergeCell ref="B4:B6"/>
    <mergeCell ref="C4:C6"/>
    <mergeCell ref="D4:D6"/>
    <mergeCell ref="C11:C12"/>
    <mergeCell ref="B11:B12"/>
    <mergeCell ref="D11:D12"/>
    <mergeCell ref="C14:C15"/>
    <mergeCell ref="D14:D15"/>
    <mergeCell ref="B14:B15"/>
    <mergeCell ref="B16:B19"/>
    <mergeCell ref="B20:B22"/>
    <mergeCell ref="C20:C22"/>
    <mergeCell ref="C16:C19"/>
    <mergeCell ref="D16:D19"/>
    <mergeCell ref="D20:D22"/>
    <mergeCell ref="B24:B25"/>
    <mergeCell ref="C24:C25"/>
    <mergeCell ref="D24:D25"/>
    <mergeCell ref="B29:B30"/>
    <mergeCell ref="C29:C30"/>
    <mergeCell ref="D29:D30"/>
    <mergeCell ref="B35:B37"/>
    <mergeCell ref="C35:C37"/>
    <mergeCell ref="D35:D37"/>
    <mergeCell ref="B39:B42"/>
    <mergeCell ref="C39:C42"/>
    <mergeCell ref="D39:D42"/>
    <mergeCell ref="B46:B47"/>
    <mergeCell ref="C46:C47"/>
    <mergeCell ref="D46:D47"/>
    <mergeCell ref="B49:B53"/>
    <mergeCell ref="C49:C53"/>
    <mergeCell ref="D49:D53"/>
    <mergeCell ref="C56:C57"/>
    <mergeCell ref="B56:B57"/>
    <mergeCell ref="D56:D57"/>
    <mergeCell ref="B62:B63"/>
    <mergeCell ref="C62:C63"/>
    <mergeCell ref="D62:D63"/>
    <mergeCell ref="B67:B71"/>
    <mergeCell ref="C67:C71"/>
    <mergeCell ref="D67:D71"/>
    <mergeCell ref="B78:B79"/>
    <mergeCell ref="C78:C79"/>
    <mergeCell ref="D78:D79"/>
    <mergeCell ref="B81:B82"/>
    <mergeCell ref="C81:C82"/>
    <mergeCell ref="D81:D82"/>
    <mergeCell ref="B85:B87"/>
    <mergeCell ref="C85:C87"/>
    <mergeCell ref="D85:D87"/>
    <mergeCell ref="B89:B90"/>
    <mergeCell ref="C89:C90"/>
    <mergeCell ref="D89:D90"/>
    <mergeCell ref="B95:B99"/>
    <mergeCell ref="C95:C99"/>
    <mergeCell ref="D95:D99"/>
    <mergeCell ref="B102:B104"/>
    <mergeCell ref="C102:C104"/>
    <mergeCell ref="D102:D104"/>
    <mergeCell ref="B113:B114"/>
    <mergeCell ref="C113:C114"/>
    <mergeCell ref="D113:D114"/>
    <mergeCell ref="B116:B119"/>
    <mergeCell ref="C116:C119"/>
    <mergeCell ref="D116:D119"/>
    <mergeCell ref="B121:B122"/>
    <mergeCell ref="C121:C122"/>
    <mergeCell ref="D121:D1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9A07-3CC0-E247-A800-2680EC58B409}">
  <dimension ref="A1:D153"/>
  <sheetViews>
    <sheetView topLeftCell="A134" workbookViewId="0">
      <selection activeCell="B148" sqref="B148"/>
    </sheetView>
  </sheetViews>
  <sheetFormatPr defaultColWidth="8.85546875" defaultRowHeight="15"/>
  <cols>
    <col min="1" max="1" width="7.7109375" style="1" customWidth="1"/>
    <col min="2" max="2" width="53.7109375" style="1" customWidth="1"/>
    <col min="3" max="3" width="17.7109375" style="1" customWidth="1"/>
    <col min="4" max="4" width="14" style="3" customWidth="1"/>
    <col min="5" max="16384" width="8.85546875" style="1"/>
  </cols>
  <sheetData>
    <row r="1" spans="1:4" ht="15.75">
      <c r="A1" s="84" t="s">
        <v>912</v>
      </c>
      <c r="B1" s="84"/>
      <c r="C1" s="12"/>
      <c r="D1" s="26"/>
    </row>
    <row r="2" spans="1:4">
      <c r="A2" s="85" t="s">
        <v>923</v>
      </c>
      <c r="B2" s="85"/>
      <c r="C2" s="12"/>
      <c r="D2" s="26"/>
    </row>
    <row r="3" spans="1:4">
      <c r="A3" s="14" t="s">
        <v>914</v>
      </c>
      <c r="B3" s="15" t="s">
        <v>1</v>
      </c>
      <c r="C3" s="14" t="s">
        <v>2</v>
      </c>
      <c r="D3" s="26" t="s">
        <v>915</v>
      </c>
    </row>
    <row r="4" spans="1:4">
      <c r="A4" s="16">
        <v>45841</v>
      </c>
      <c r="B4" s="103" t="s">
        <v>37</v>
      </c>
      <c r="C4" s="85" t="s">
        <v>38</v>
      </c>
      <c r="D4" s="94">
        <v>37890</v>
      </c>
    </row>
    <row r="5" spans="1:4">
      <c r="A5" s="16">
        <v>45841</v>
      </c>
      <c r="B5" s="103"/>
      <c r="C5" s="85"/>
      <c r="D5" s="96"/>
    </row>
    <row r="6" spans="1:4">
      <c r="A6" s="16">
        <v>45852</v>
      </c>
      <c r="B6" s="103"/>
      <c r="C6" s="85"/>
      <c r="D6" s="96"/>
    </row>
    <row r="7" spans="1:4">
      <c r="A7" s="16">
        <v>45861</v>
      </c>
      <c r="B7" s="103"/>
      <c r="C7" s="85"/>
      <c r="D7" s="96"/>
    </row>
    <row r="8" spans="1:4">
      <c r="A8" s="16">
        <v>45864</v>
      </c>
      <c r="B8" s="103"/>
      <c r="C8" s="85"/>
      <c r="D8" s="95"/>
    </row>
    <row r="9" spans="1:4">
      <c r="A9" s="16">
        <v>45842</v>
      </c>
      <c r="B9" s="97" t="s">
        <v>45</v>
      </c>
      <c r="C9" s="99"/>
      <c r="D9" s="94">
        <v>7487.5</v>
      </c>
    </row>
    <row r="10" spans="1:4">
      <c r="A10" s="16">
        <v>45839</v>
      </c>
      <c r="B10" s="98"/>
      <c r="C10" s="100"/>
      <c r="D10" s="95"/>
    </row>
    <row r="11" spans="1:4">
      <c r="A11" s="16">
        <v>45840</v>
      </c>
      <c r="B11" s="50" t="s">
        <v>84</v>
      </c>
      <c r="C11" s="7" t="s">
        <v>85</v>
      </c>
      <c r="D11" s="23">
        <v>1460</v>
      </c>
    </row>
    <row r="12" spans="1:4">
      <c r="A12" s="16">
        <v>45852</v>
      </c>
      <c r="B12" s="50" t="s">
        <v>105</v>
      </c>
      <c r="C12" s="7" t="s">
        <v>106</v>
      </c>
      <c r="D12" s="23">
        <v>526068</v>
      </c>
    </row>
    <row r="13" spans="1:4">
      <c r="A13" s="16">
        <v>45856</v>
      </c>
      <c r="B13" s="97" t="s">
        <v>110</v>
      </c>
      <c r="C13" s="99" t="s">
        <v>111</v>
      </c>
      <c r="D13" s="94">
        <v>4077223</v>
      </c>
    </row>
    <row r="14" spans="1:4">
      <c r="A14" s="16">
        <v>45857</v>
      </c>
      <c r="B14" s="101"/>
      <c r="C14" s="102"/>
      <c r="D14" s="96"/>
    </row>
    <row r="15" spans="1:4">
      <c r="A15" s="16">
        <v>45859</v>
      </c>
      <c r="B15" s="101"/>
      <c r="C15" s="102"/>
      <c r="D15" s="96"/>
    </row>
    <row r="16" spans="1:4">
      <c r="A16" s="16">
        <v>45867</v>
      </c>
      <c r="B16" s="101"/>
      <c r="C16" s="102"/>
      <c r="D16" s="96"/>
    </row>
    <row r="17" spans="1:4">
      <c r="A17" s="16">
        <v>45868</v>
      </c>
      <c r="B17" s="98"/>
      <c r="C17" s="100"/>
      <c r="D17" s="95"/>
    </row>
    <row r="18" spans="1:4">
      <c r="A18" s="16">
        <v>45868</v>
      </c>
      <c r="B18" s="50" t="s">
        <v>118</v>
      </c>
      <c r="C18" s="7" t="s">
        <v>119</v>
      </c>
      <c r="D18" s="23">
        <v>4755</v>
      </c>
    </row>
    <row r="19" spans="1:4">
      <c r="A19" s="16">
        <v>45869</v>
      </c>
      <c r="B19" s="50" t="s">
        <v>123</v>
      </c>
      <c r="C19" s="7" t="s">
        <v>124</v>
      </c>
      <c r="D19" s="23">
        <v>16500</v>
      </c>
    </row>
    <row r="20" spans="1:4">
      <c r="A20" s="16">
        <v>45841</v>
      </c>
      <c r="B20" s="50" t="s">
        <v>125</v>
      </c>
      <c r="C20" s="7" t="s">
        <v>126</v>
      </c>
      <c r="D20" s="23">
        <v>10420</v>
      </c>
    </row>
    <row r="21" spans="1:4">
      <c r="A21" s="16">
        <v>45860</v>
      </c>
      <c r="B21" s="50" t="s">
        <v>132</v>
      </c>
      <c r="C21" s="7"/>
      <c r="D21" s="23">
        <v>2209</v>
      </c>
    </row>
    <row r="22" spans="1:4">
      <c r="A22" s="16">
        <v>45839</v>
      </c>
      <c r="B22" s="97" t="s">
        <v>136</v>
      </c>
      <c r="C22" s="99" t="s">
        <v>137</v>
      </c>
      <c r="D22" s="94">
        <v>77537.5</v>
      </c>
    </row>
    <row r="23" spans="1:4">
      <c r="A23" s="16">
        <v>45849</v>
      </c>
      <c r="B23" s="101"/>
      <c r="C23" s="102"/>
      <c r="D23" s="96"/>
    </row>
    <row r="24" spans="1:4">
      <c r="A24" s="16">
        <v>45855</v>
      </c>
      <c r="B24" s="101"/>
      <c r="C24" s="102"/>
      <c r="D24" s="96"/>
    </row>
    <row r="25" spans="1:4">
      <c r="A25" s="16">
        <v>45864</v>
      </c>
      <c r="B25" s="98"/>
      <c r="C25" s="100"/>
      <c r="D25" s="95"/>
    </row>
    <row r="26" spans="1:4">
      <c r="A26" s="16">
        <v>45854</v>
      </c>
      <c r="B26" s="97" t="s">
        <v>145</v>
      </c>
      <c r="C26" s="99" t="s">
        <v>146</v>
      </c>
      <c r="D26" s="94">
        <v>78780</v>
      </c>
    </row>
    <row r="27" spans="1:4">
      <c r="A27" s="16">
        <v>45866</v>
      </c>
      <c r="B27" s="101"/>
      <c r="C27" s="102"/>
      <c r="D27" s="96"/>
    </row>
    <row r="28" spans="1:4">
      <c r="A28" s="16">
        <v>45866</v>
      </c>
      <c r="B28" s="98"/>
      <c r="C28" s="100"/>
      <c r="D28" s="95"/>
    </row>
    <row r="29" spans="1:4">
      <c r="A29" s="16">
        <v>45852</v>
      </c>
      <c r="B29" s="50" t="s">
        <v>147</v>
      </c>
      <c r="C29" s="7" t="s">
        <v>148</v>
      </c>
      <c r="D29" s="23">
        <v>13331</v>
      </c>
    </row>
    <row r="30" spans="1:4">
      <c r="A30" s="16">
        <v>45841</v>
      </c>
      <c r="B30" s="50" t="s">
        <v>152</v>
      </c>
      <c r="C30" s="7"/>
      <c r="D30" s="23">
        <v>4760</v>
      </c>
    </row>
    <row r="31" spans="1:4">
      <c r="A31" s="16">
        <v>45859</v>
      </c>
      <c r="B31" s="97" t="s">
        <v>924</v>
      </c>
      <c r="C31" s="99"/>
      <c r="D31" s="94">
        <v>5647</v>
      </c>
    </row>
    <row r="32" spans="1:4">
      <c r="A32" s="16">
        <v>45862</v>
      </c>
      <c r="B32" s="98"/>
      <c r="C32" s="100"/>
      <c r="D32" s="95"/>
    </row>
    <row r="33" spans="1:4">
      <c r="A33" s="16">
        <v>45843</v>
      </c>
      <c r="B33" s="50" t="s">
        <v>175</v>
      </c>
      <c r="C33" s="7" t="s">
        <v>176</v>
      </c>
      <c r="D33" s="23">
        <v>2450</v>
      </c>
    </row>
    <row r="34" spans="1:4">
      <c r="A34" s="16">
        <v>45867</v>
      </c>
      <c r="B34" s="50" t="s">
        <v>195</v>
      </c>
      <c r="C34" s="7" t="s">
        <v>196</v>
      </c>
      <c r="D34" s="23">
        <v>2988</v>
      </c>
    </row>
    <row r="35" spans="1:4">
      <c r="A35" s="16">
        <v>45840</v>
      </c>
      <c r="B35" s="97" t="s">
        <v>200</v>
      </c>
      <c r="C35" s="99" t="s">
        <v>201</v>
      </c>
      <c r="D35" s="94">
        <v>8400</v>
      </c>
    </row>
    <row r="36" spans="1:4">
      <c r="A36" s="16">
        <v>45863</v>
      </c>
      <c r="B36" s="98"/>
      <c r="C36" s="100"/>
      <c r="D36" s="95"/>
    </row>
    <row r="37" spans="1:4">
      <c r="A37" s="16">
        <v>45867</v>
      </c>
      <c r="B37" s="50" t="s">
        <v>202</v>
      </c>
      <c r="C37" s="7" t="s">
        <v>203</v>
      </c>
      <c r="D37" s="23">
        <v>25520</v>
      </c>
    </row>
    <row r="38" spans="1:4">
      <c r="A38" s="16">
        <v>45856</v>
      </c>
      <c r="B38" s="50" t="s">
        <v>206</v>
      </c>
      <c r="C38" s="7" t="s">
        <v>207</v>
      </c>
      <c r="D38" s="23">
        <v>28800</v>
      </c>
    </row>
    <row r="39" spans="1:4">
      <c r="A39" s="16">
        <v>45846</v>
      </c>
      <c r="B39" s="50" t="s">
        <v>210</v>
      </c>
      <c r="C39" s="7" t="s">
        <v>211</v>
      </c>
      <c r="D39" s="23">
        <v>18500</v>
      </c>
    </row>
    <row r="40" spans="1:4">
      <c r="A40" s="16">
        <v>45853</v>
      </c>
      <c r="B40" s="50" t="s">
        <v>213</v>
      </c>
      <c r="C40" s="7" t="s">
        <v>214</v>
      </c>
      <c r="D40" s="23">
        <v>72000</v>
      </c>
    </row>
    <row r="41" spans="1:4">
      <c r="A41" s="16">
        <v>45843</v>
      </c>
      <c r="B41" s="97" t="s">
        <v>221</v>
      </c>
      <c r="C41" s="99"/>
      <c r="D41" s="94">
        <v>11930</v>
      </c>
    </row>
    <row r="42" spans="1:4">
      <c r="A42" s="16">
        <v>45867</v>
      </c>
      <c r="B42" s="98"/>
      <c r="C42" s="100"/>
      <c r="D42" s="95"/>
    </row>
    <row r="43" spans="1:4">
      <c r="A43" s="16">
        <v>45860</v>
      </c>
      <c r="B43" s="50" t="s">
        <v>230</v>
      </c>
      <c r="C43" s="7"/>
      <c r="D43" s="23">
        <v>1600</v>
      </c>
    </row>
    <row r="44" spans="1:4">
      <c r="A44" s="16">
        <v>45854</v>
      </c>
      <c r="B44" s="50" t="s">
        <v>231</v>
      </c>
      <c r="C44" s="7"/>
      <c r="D44" s="23">
        <v>5834</v>
      </c>
    </row>
    <row r="45" spans="1:4">
      <c r="A45" s="16">
        <v>45843</v>
      </c>
      <c r="B45" s="50" t="s">
        <v>255</v>
      </c>
      <c r="C45" s="7" t="s">
        <v>256</v>
      </c>
      <c r="D45" s="23">
        <v>11000</v>
      </c>
    </row>
    <row r="46" spans="1:4">
      <c r="A46" s="16">
        <v>45867</v>
      </c>
      <c r="B46" s="50" t="s">
        <v>260</v>
      </c>
      <c r="C46" s="7" t="s">
        <v>261</v>
      </c>
      <c r="D46" s="23">
        <v>2600</v>
      </c>
    </row>
    <row r="47" spans="1:4">
      <c r="A47" s="16">
        <v>45848</v>
      </c>
      <c r="B47" s="50" t="s">
        <v>262</v>
      </c>
      <c r="C47" s="7" t="s">
        <v>263</v>
      </c>
      <c r="D47" s="23">
        <v>5400</v>
      </c>
    </row>
    <row r="48" spans="1:4">
      <c r="A48" s="16">
        <v>45863</v>
      </c>
      <c r="B48" s="50" t="s">
        <v>268</v>
      </c>
      <c r="C48" s="7"/>
      <c r="D48" s="23">
        <v>31751</v>
      </c>
    </row>
    <row r="49" spans="1:4">
      <c r="A49" s="16">
        <v>45839</v>
      </c>
      <c r="B49" s="97" t="s">
        <v>273</v>
      </c>
      <c r="C49" s="99" t="s">
        <v>274</v>
      </c>
      <c r="D49" s="94">
        <v>306930</v>
      </c>
    </row>
    <row r="50" spans="1:4">
      <c r="A50" s="16">
        <v>45853</v>
      </c>
      <c r="B50" s="101"/>
      <c r="C50" s="102"/>
      <c r="D50" s="96"/>
    </row>
    <row r="51" spans="1:4">
      <c r="A51" s="16">
        <v>45854</v>
      </c>
      <c r="B51" s="101"/>
      <c r="C51" s="102"/>
      <c r="D51" s="96"/>
    </row>
    <row r="52" spans="1:4">
      <c r="A52" s="16">
        <v>45857</v>
      </c>
      <c r="B52" s="101"/>
      <c r="C52" s="102"/>
      <c r="D52" s="96"/>
    </row>
    <row r="53" spans="1:4">
      <c r="A53" s="16">
        <v>45859</v>
      </c>
      <c r="B53" s="101"/>
      <c r="C53" s="102"/>
      <c r="D53" s="96"/>
    </row>
    <row r="54" spans="1:4">
      <c r="A54" s="16">
        <v>45862</v>
      </c>
      <c r="B54" s="101"/>
      <c r="C54" s="102"/>
      <c r="D54" s="96"/>
    </row>
    <row r="55" spans="1:4">
      <c r="A55" s="16">
        <v>45866</v>
      </c>
      <c r="B55" s="98"/>
      <c r="C55" s="100"/>
      <c r="D55" s="95"/>
    </row>
    <row r="56" spans="1:4">
      <c r="A56" s="16">
        <v>45860</v>
      </c>
      <c r="B56" s="50" t="s">
        <v>296</v>
      </c>
      <c r="C56" s="7" t="s">
        <v>297</v>
      </c>
      <c r="D56" s="23">
        <v>10900</v>
      </c>
    </row>
    <row r="57" spans="1:4">
      <c r="A57" s="16">
        <v>45841</v>
      </c>
      <c r="B57" s="50" t="s">
        <v>307</v>
      </c>
      <c r="C57" s="7" t="s">
        <v>308</v>
      </c>
      <c r="D57" s="23">
        <v>17000</v>
      </c>
    </row>
    <row r="58" spans="1:4">
      <c r="A58" s="16">
        <v>45847</v>
      </c>
      <c r="B58" s="50" t="s">
        <v>315</v>
      </c>
      <c r="C58" s="7"/>
      <c r="D58" s="23">
        <v>3000</v>
      </c>
    </row>
    <row r="59" spans="1:4">
      <c r="A59" s="16">
        <v>45849</v>
      </c>
      <c r="B59" s="50" t="s">
        <v>316</v>
      </c>
      <c r="C59" s="7" t="s">
        <v>317</v>
      </c>
      <c r="D59" s="23">
        <v>9000</v>
      </c>
    </row>
    <row r="60" spans="1:4">
      <c r="A60" s="16">
        <v>45842</v>
      </c>
      <c r="B60" s="50" t="s">
        <v>319</v>
      </c>
      <c r="C60" s="7" t="s">
        <v>320</v>
      </c>
      <c r="D60" s="23">
        <v>4500</v>
      </c>
    </row>
    <row r="61" spans="1:4">
      <c r="A61" s="16">
        <v>45849</v>
      </c>
      <c r="B61" s="97" t="s">
        <v>350</v>
      </c>
      <c r="C61" s="99" t="s">
        <v>347</v>
      </c>
      <c r="D61" s="94">
        <v>24800</v>
      </c>
    </row>
    <row r="62" spans="1:4">
      <c r="A62" s="16">
        <v>45857</v>
      </c>
      <c r="B62" s="98"/>
      <c r="C62" s="100"/>
      <c r="D62" s="95"/>
    </row>
    <row r="63" spans="1:4">
      <c r="A63" s="16">
        <v>45839</v>
      </c>
      <c r="B63" s="50" t="s">
        <v>351</v>
      </c>
      <c r="C63" s="7" t="s">
        <v>352</v>
      </c>
      <c r="D63" s="23">
        <v>29450</v>
      </c>
    </row>
    <row r="64" spans="1:4">
      <c r="A64" s="16">
        <v>45842</v>
      </c>
      <c r="B64" s="97" t="s">
        <v>353</v>
      </c>
      <c r="C64" s="99" t="s">
        <v>354</v>
      </c>
      <c r="D64" s="94">
        <v>25700</v>
      </c>
    </row>
    <row r="65" spans="1:4">
      <c r="A65" s="16">
        <v>45845</v>
      </c>
      <c r="B65" s="98"/>
      <c r="C65" s="100"/>
      <c r="D65" s="95"/>
    </row>
    <row r="66" spans="1:4">
      <c r="A66" s="16">
        <v>45868</v>
      </c>
      <c r="B66" s="50" t="s">
        <v>361</v>
      </c>
      <c r="C66" s="7" t="s">
        <v>362</v>
      </c>
      <c r="D66" s="23">
        <v>40178.57</v>
      </c>
    </row>
    <row r="67" spans="1:4">
      <c r="A67" s="16">
        <v>45841</v>
      </c>
      <c r="B67" s="50" t="s">
        <v>370</v>
      </c>
      <c r="C67" s="7" t="s">
        <v>371</v>
      </c>
      <c r="D67" s="23">
        <v>10500</v>
      </c>
    </row>
    <row r="68" spans="1:4">
      <c r="A68" s="16">
        <v>45864</v>
      </c>
      <c r="B68" s="50" t="s">
        <v>390</v>
      </c>
      <c r="C68" s="7" t="s">
        <v>391</v>
      </c>
      <c r="D68" s="23">
        <v>12000</v>
      </c>
    </row>
    <row r="69" spans="1:4">
      <c r="A69" s="16">
        <v>45842</v>
      </c>
      <c r="B69" s="97" t="s">
        <v>395</v>
      </c>
      <c r="C69" s="99" t="s">
        <v>396</v>
      </c>
      <c r="D69" s="94">
        <v>105000</v>
      </c>
    </row>
    <row r="70" spans="1:4">
      <c r="A70" s="16">
        <v>45845</v>
      </c>
      <c r="B70" s="98"/>
      <c r="C70" s="100"/>
      <c r="D70" s="95"/>
    </row>
    <row r="71" spans="1:4">
      <c r="A71" s="16">
        <v>45868</v>
      </c>
      <c r="B71" s="50" t="s">
        <v>402</v>
      </c>
      <c r="C71" s="7" t="s">
        <v>403</v>
      </c>
      <c r="D71" s="23">
        <v>1430</v>
      </c>
    </row>
    <row r="72" spans="1:4">
      <c r="A72" s="16">
        <v>45862</v>
      </c>
      <c r="B72" s="50" t="s">
        <v>412</v>
      </c>
      <c r="C72" s="7" t="s">
        <v>413</v>
      </c>
      <c r="D72" s="23">
        <v>11700</v>
      </c>
    </row>
    <row r="73" spans="1:4">
      <c r="A73" s="16">
        <v>45855</v>
      </c>
      <c r="B73" s="97" t="s">
        <v>414</v>
      </c>
      <c r="C73" s="99" t="s">
        <v>415</v>
      </c>
      <c r="D73" s="94">
        <v>7426</v>
      </c>
    </row>
    <row r="74" spans="1:4">
      <c r="A74" s="16">
        <v>45861</v>
      </c>
      <c r="B74" s="98"/>
      <c r="C74" s="100"/>
      <c r="D74" s="95"/>
    </row>
    <row r="75" spans="1:4">
      <c r="A75" s="16">
        <v>45848</v>
      </c>
      <c r="B75" s="50" t="s">
        <v>426</v>
      </c>
      <c r="C75" s="7"/>
      <c r="D75" s="23">
        <v>5200</v>
      </c>
    </row>
    <row r="76" spans="1:4">
      <c r="A76" s="16">
        <v>45847</v>
      </c>
      <c r="B76" s="50" t="s">
        <v>429</v>
      </c>
      <c r="C76" s="7" t="s">
        <v>430</v>
      </c>
      <c r="D76" s="23">
        <v>16600</v>
      </c>
    </row>
    <row r="77" spans="1:4">
      <c r="A77" s="16">
        <v>45866</v>
      </c>
      <c r="B77" s="50" t="s">
        <v>436</v>
      </c>
      <c r="C77" s="7" t="s">
        <v>437</v>
      </c>
      <c r="D77" s="23">
        <v>11165</v>
      </c>
    </row>
    <row r="78" spans="1:4">
      <c r="A78" s="16">
        <v>45864</v>
      </c>
      <c r="B78" s="97" t="s">
        <v>458</v>
      </c>
      <c r="C78" s="99" t="s">
        <v>459</v>
      </c>
      <c r="D78" s="94">
        <v>87090</v>
      </c>
    </row>
    <row r="79" spans="1:4">
      <c r="A79" s="16">
        <v>45866</v>
      </c>
      <c r="B79" s="98"/>
      <c r="C79" s="100"/>
      <c r="D79" s="95"/>
    </row>
    <row r="80" spans="1:4">
      <c r="A80" s="16">
        <v>45847</v>
      </c>
      <c r="B80" s="97" t="s">
        <v>464</v>
      </c>
      <c r="C80" s="99" t="s">
        <v>465</v>
      </c>
      <c r="D80" s="94">
        <v>49018</v>
      </c>
    </row>
    <row r="81" spans="1:4">
      <c r="A81" s="16">
        <v>45859</v>
      </c>
      <c r="B81" s="101"/>
      <c r="C81" s="102"/>
      <c r="D81" s="96"/>
    </row>
    <row r="82" spans="1:4">
      <c r="A82" s="16">
        <v>45862</v>
      </c>
      <c r="B82" s="101"/>
      <c r="C82" s="102"/>
      <c r="D82" s="96"/>
    </row>
    <row r="83" spans="1:4">
      <c r="A83" s="16">
        <v>45869</v>
      </c>
      <c r="B83" s="98"/>
      <c r="C83" s="100"/>
      <c r="D83" s="95"/>
    </row>
    <row r="84" spans="1:4">
      <c r="A84" s="16">
        <v>45840</v>
      </c>
      <c r="B84" s="50" t="s">
        <v>468</v>
      </c>
      <c r="C84" s="7" t="s">
        <v>469</v>
      </c>
      <c r="D84" s="23">
        <v>3100</v>
      </c>
    </row>
    <row r="85" spans="1:4">
      <c r="A85" s="16">
        <v>45841</v>
      </c>
      <c r="B85" s="50" t="s">
        <v>479</v>
      </c>
      <c r="C85" s="7" t="s">
        <v>480</v>
      </c>
      <c r="D85" s="23">
        <v>1650</v>
      </c>
    </row>
    <row r="86" spans="1:4">
      <c r="A86" s="16">
        <v>45856</v>
      </c>
      <c r="B86" s="50" t="s">
        <v>481</v>
      </c>
      <c r="C86" s="7" t="s">
        <v>482</v>
      </c>
      <c r="D86" s="23">
        <v>7340</v>
      </c>
    </row>
    <row r="87" spans="1:4">
      <c r="A87" s="16">
        <v>45847</v>
      </c>
      <c r="B87" s="50" t="s">
        <v>487</v>
      </c>
      <c r="C87" s="7" t="s">
        <v>488</v>
      </c>
      <c r="D87" s="23">
        <v>30000</v>
      </c>
    </row>
    <row r="88" spans="1:4">
      <c r="A88" s="16">
        <v>45854</v>
      </c>
      <c r="B88" s="50" t="s">
        <v>503</v>
      </c>
      <c r="C88" s="7" t="s">
        <v>504</v>
      </c>
      <c r="D88" s="23">
        <v>14600</v>
      </c>
    </row>
    <row r="89" spans="1:4">
      <c r="A89" s="16">
        <v>45847</v>
      </c>
      <c r="B89" s="50" t="s">
        <v>516</v>
      </c>
      <c r="C89" s="7"/>
      <c r="D89" s="23">
        <v>243000</v>
      </c>
    </row>
    <row r="90" spans="1:4">
      <c r="A90" s="16">
        <v>45862</v>
      </c>
      <c r="B90" s="50" t="s">
        <v>523</v>
      </c>
      <c r="C90" s="7"/>
      <c r="D90" s="23">
        <v>18475</v>
      </c>
    </row>
    <row r="91" spans="1:4">
      <c r="A91" s="16">
        <v>45842</v>
      </c>
      <c r="B91" s="97" t="s">
        <v>524</v>
      </c>
      <c r="C91" s="99" t="s">
        <v>525</v>
      </c>
      <c r="D91" s="94">
        <v>23242</v>
      </c>
    </row>
    <row r="92" spans="1:4">
      <c r="A92" s="16">
        <v>45861</v>
      </c>
      <c r="B92" s="98"/>
      <c r="C92" s="100"/>
      <c r="D92" s="95"/>
    </row>
    <row r="93" spans="1:4">
      <c r="A93" s="16">
        <v>45849</v>
      </c>
      <c r="B93" s="97" t="s">
        <v>526</v>
      </c>
      <c r="C93" s="99" t="s">
        <v>527</v>
      </c>
      <c r="D93" s="94">
        <v>67100</v>
      </c>
    </row>
    <row r="94" spans="1:4">
      <c r="A94" s="16">
        <v>45862</v>
      </c>
      <c r="B94" s="98"/>
      <c r="C94" s="100"/>
      <c r="D94" s="95"/>
    </row>
    <row r="95" spans="1:4">
      <c r="A95" s="16">
        <v>45853</v>
      </c>
      <c r="B95" s="50" t="s">
        <v>528</v>
      </c>
      <c r="C95" s="7" t="s">
        <v>529</v>
      </c>
      <c r="D95" s="23">
        <v>21600</v>
      </c>
    </row>
    <row r="96" spans="1:4">
      <c r="A96" s="16">
        <v>45853</v>
      </c>
      <c r="B96" s="50" t="s">
        <v>543</v>
      </c>
      <c r="C96" s="7" t="s">
        <v>544</v>
      </c>
      <c r="D96" s="23">
        <v>5700</v>
      </c>
    </row>
    <row r="97" spans="1:4">
      <c r="A97" s="16">
        <v>45842</v>
      </c>
      <c r="B97" s="50" t="s">
        <v>545</v>
      </c>
      <c r="C97" s="7" t="s">
        <v>546</v>
      </c>
      <c r="D97" s="23">
        <v>8800</v>
      </c>
    </row>
    <row r="98" spans="1:4">
      <c r="A98" s="16">
        <v>45845</v>
      </c>
      <c r="B98" s="50" t="s">
        <v>548</v>
      </c>
      <c r="C98" s="7" t="s">
        <v>549</v>
      </c>
      <c r="D98" s="23">
        <v>3480</v>
      </c>
    </row>
    <row r="99" spans="1:4">
      <c r="A99" s="16">
        <v>45840</v>
      </c>
      <c r="B99" s="97" t="s">
        <v>552</v>
      </c>
      <c r="C99" s="99" t="s">
        <v>553</v>
      </c>
      <c r="D99" s="94">
        <v>56250</v>
      </c>
    </row>
    <row r="100" spans="1:4">
      <c r="A100" s="16">
        <v>45854</v>
      </c>
      <c r="B100" s="98"/>
      <c r="C100" s="100"/>
      <c r="D100" s="95"/>
    </row>
    <row r="101" spans="1:4">
      <c r="A101" s="16">
        <v>45846</v>
      </c>
      <c r="B101" s="50" t="s">
        <v>556</v>
      </c>
      <c r="C101" s="7" t="s">
        <v>557</v>
      </c>
      <c r="D101" s="23">
        <v>12000</v>
      </c>
    </row>
    <row r="102" spans="1:4">
      <c r="A102" s="16">
        <v>45867</v>
      </c>
      <c r="B102" s="50" t="s">
        <v>558</v>
      </c>
      <c r="C102" s="7" t="s">
        <v>559</v>
      </c>
      <c r="D102" s="23">
        <v>2100</v>
      </c>
    </row>
    <row r="103" spans="1:4">
      <c r="A103" s="16">
        <v>45860</v>
      </c>
      <c r="B103" s="50" t="s">
        <v>567</v>
      </c>
      <c r="C103" s="7" t="s">
        <v>568</v>
      </c>
      <c r="D103" s="23">
        <v>23650</v>
      </c>
    </row>
    <row r="104" spans="1:4">
      <c r="A104" s="16">
        <v>45853</v>
      </c>
      <c r="B104" s="50" t="s">
        <v>572</v>
      </c>
      <c r="C104" s="7" t="s">
        <v>573</v>
      </c>
      <c r="D104" s="23">
        <v>77100</v>
      </c>
    </row>
    <row r="105" spans="1:4">
      <c r="A105" s="16">
        <v>45852</v>
      </c>
      <c r="B105" s="97" t="s">
        <v>574</v>
      </c>
      <c r="C105" s="99" t="s">
        <v>575</v>
      </c>
      <c r="D105" s="94">
        <v>2000</v>
      </c>
    </row>
    <row r="106" spans="1:4">
      <c r="A106" s="16">
        <v>45866</v>
      </c>
      <c r="B106" s="98"/>
      <c r="C106" s="100"/>
      <c r="D106" s="95"/>
    </row>
    <row r="107" spans="1:4">
      <c r="A107" s="16">
        <v>45847</v>
      </c>
      <c r="B107" s="97" t="s">
        <v>588</v>
      </c>
      <c r="C107" s="99"/>
      <c r="D107" s="94">
        <v>4900</v>
      </c>
    </row>
    <row r="108" spans="1:4">
      <c r="A108" s="16">
        <v>45855</v>
      </c>
      <c r="B108" s="98"/>
      <c r="C108" s="100"/>
      <c r="D108" s="95"/>
    </row>
    <row r="109" spans="1:4">
      <c r="A109" s="16">
        <v>45847</v>
      </c>
      <c r="B109" s="50" t="s">
        <v>590</v>
      </c>
      <c r="C109" s="7" t="s">
        <v>591</v>
      </c>
      <c r="D109" s="23">
        <v>5800</v>
      </c>
    </row>
    <row r="110" spans="1:4">
      <c r="A110" s="16">
        <v>45856</v>
      </c>
      <c r="B110" s="50" t="s">
        <v>592</v>
      </c>
      <c r="C110" s="7" t="s">
        <v>593</v>
      </c>
      <c r="D110" s="23">
        <v>2800</v>
      </c>
    </row>
    <row r="111" spans="1:4">
      <c r="A111" s="16">
        <v>45847</v>
      </c>
      <c r="B111" s="50" t="s">
        <v>606</v>
      </c>
      <c r="C111" s="7" t="s">
        <v>607</v>
      </c>
      <c r="D111" s="23">
        <v>3150</v>
      </c>
    </row>
    <row r="112" spans="1:4">
      <c r="A112" s="16">
        <v>45855</v>
      </c>
      <c r="B112" s="50" t="s">
        <v>614</v>
      </c>
      <c r="C112" s="7" t="s">
        <v>615</v>
      </c>
      <c r="D112" s="23">
        <v>13630</v>
      </c>
    </row>
    <row r="113" spans="1:4">
      <c r="A113" s="16">
        <v>45849</v>
      </c>
      <c r="B113" s="97" t="s">
        <v>627</v>
      </c>
      <c r="C113" s="99" t="s">
        <v>628</v>
      </c>
      <c r="D113" s="94">
        <v>16592</v>
      </c>
    </row>
    <row r="114" spans="1:4">
      <c r="A114" s="16">
        <v>45856</v>
      </c>
      <c r="B114" s="101"/>
      <c r="C114" s="102"/>
      <c r="D114" s="96"/>
    </row>
    <row r="115" spans="1:4">
      <c r="A115" s="16">
        <v>45859</v>
      </c>
      <c r="B115" s="101"/>
      <c r="C115" s="102"/>
      <c r="D115" s="96"/>
    </row>
    <row r="116" spans="1:4">
      <c r="A116" s="16">
        <v>45859</v>
      </c>
      <c r="B116" s="98"/>
      <c r="C116" s="100"/>
      <c r="D116" s="95"/>
    </row>
    <row r="117" spans="1:4">
      <c r="A117" s="16">
        <v>45852</v>
      </c>
      <c r="B117" s="97" t="s">
        <v>647</v>
      </c>
      <c r="C117" s="99" t="s">
        <v>648</v>
      </c>
      <c r="D117" s="94">
        <v>82250</v>
      </c>
    </row>
    <row r="118" spans="1:4">
      <c r="A118" s="16">
        <v>45867</v>
      </c>
      <c r="B118" s="98"/>
      <c r="C118" s="100"/>
      <c r="D118" s="95"/>
    </row>
    <row r="119" spans="1:4">
      <c r="A119" s="16">
        <v>45839</v>
      </c>
      <c r="B119" s="97" t="s">
        <v>655</v>
      </c>
      <c r="C119" s="99" t="s">
        <v>656</v>
      </c>
      <c r="D119" s="94">
        <v>19100</v>
      </c>
    </row>
    <row r="120" spans="1:4">
      <c r="A120" s="16">
        <v>45840</v>
      </c>
      <c r="B120" s="101"/>
      <c r="C120" s="102"/>
      <c r="D120" s="96"/>
    </row>
    <row r="121" spans="1:4">
      <c r="A121" s="16">
        <v>45852</v>
      </c>
      <c r="B121" s="101"/>
      <c r="C121" s="102"/>
      <c r="D121" s="96"/>
    </row>
    <row r="122" spans="1:4">
      <c r="A122" s="16">
        <v>45861</v>
      </c>
      <c r="B122" s="101"/>
      <c r="C122" s="102"/>
      <c r="D122" s="96"/>
    </row>
    <row r="123" spans="1:4">
      <c r="A123" s="16">
        <v>45867</v>
      </c>
      <c r="B123" s="98"/>
      <c r="C123" s="100"/>
      <c r="D123" s="95"/>
    </row>
    <row r="124" spans="1:4">
      <c r="A124" s="16">
        <v>45848</v>
      </c>
      <c r="B124" s="50" t="s">
        <v>672</v>
      </c>
      <c r="C124" s="7" t="s">
        <v>661</v>
      </c>
      <c r="D124" s="23">
        <v>7000</v>
      </c>
    </row>
    <row r="125" spans="1:4">
      <c r="A125" s="16">
        <v>45841</v>
      </c>
      <c r="B125" s="50" t="s">
        <v>693</v>
      </c>
      <c r="C125" s="7" t="s">
        <v>694</v>
      </c>
      <c r="D125" s="23">
        <v>12400</v>
      </c>
    </row>
    <row r="126" spans="1:4">
      <c r="A126" s="16">
        <v>45862</v>
      </c>
      <c r="B126" s="50" t="s">
        <v>697</v>
      </c>
      <c r="C126" s="7" t="s">
        <v>698</v>
      </c>
      <c r="D126" s="23">
        <v>3860</v>
      </c>
    </row>
    <row r="127" spans="1:4">
      <c r="A127" s="16">
        <v>45854</v>
      </c>
      <c r="B127" s="50" t="s">
        <v>703</v>
      </c>
      <c r="C127" s="7" t="s">
        <v>704</v>
      </c>
      <c r="D127" s="23">
        <v>43230</v>
      </c>
    </row>
    <row r="128" spans="1:4">
      <c r="A128" s="16">
        <v>45869</v>
      </c>
      <c r="B128" s="50" t="s">
        <v>705</v>
      </c>
      <c r="C128" s="7" t="s">
        <v>706</v>
      </c>
      <c r="D128" s="23">
        <v>1960</v>
      </c>
    </row>
    <row r="129" spans="1:4">
      <c r="A129" s="16">
        <v>45841</v>
      </c>
      <c r="B129" s="50" t="s">
        <v>718</v>
      </c>
      <c r="C129" s="7"/>
      <c r="D129" s="23">
        <v>22000</v>
      </c>
    </row>
    <row r="130" spans="1:4">
      <c r="A130" s="16">
        <v>45850</v>
      </c>
      <c r="B130" s="50" t="s">
        <v>720</v>
      </c>
      <c r="C130" s="7"/>
      <c r="D130" s="23">
        <v>2750</v>
      </c>
    </row>
    <row r="131" spans="1:4">
      <c r="A131" s="16">
        <v>45842</v>
      </c>
      <c r="B131" s="50" t="s">
        <v>764</v>
      </c>
      <c r="C131" s="7" t="s">
        <v>765</v>
      </c>
      <c r="D131" s="23">
        <v>9000</v>
      </c>
    </row>
    <row r="132" spans="1:4">
      <c r="A132" s="16">
        <v>45853</v>
      </c>
      <c r="B132" s="97" t="s">
        <v>776</v>
      </c>
      <c r="C132" s="99" t="s">
        <v>777</v>
      </c>
      <c r="D132" s="94">
        <v>127440</v>
      </c>
    </row>
    <row r="133" spans="1:4">
      <c r="A133" s="16">
        <v>45868</v>
      </c>
      <c r="B133" s="98"/>
      <c r="C133" s="100"/>
      <c r="D133" s="95"/>
    </row>
    <row r="134" spans="1:4">
      <c r="A134" s="16">
        <v>45864</v>
      </c>
      <c r="B134" s="50" t="s">
        <v>788</v>
      </c>
      <c r="C134" s="7" t="s">
        <v>789</v>
      </c>
      <c r="D134" s="23">
        <v>45600</v>
      </c>
    </row>
    <row r="135" spans="1:4" ht="22.5">
      <c r="A135" s="16">
        <v>45858</v>
      </c>
      <c r="B135" s="29" t="s">
        <v>925</v>
      </c>
      <c r="C135" s="7"/>
      <c r="D135" s="23">
        <v>1062795.3700000001</v>
      </c>
    </row>
    <row r="136" spans="1:4">
      <c r="A136" s="16">
        <v>45855</v>
      </c>
      <c r="B136" s="50" t="s">
        <v>800</v>
      </c>
      <c r="C136" s="7" t="s">
        <v>801</v>
      </c>
      <c r="D136" s="23">
        <v>66000</v>
      </c>
    </row>
    <row r="137" spans="1:4">
      <c r="A137" s="16">
        <v>45861</v>
      </c>
      <c r="B137" s="50" t="s">
        <v>802</v>
      </c>
      <c r="C137" s="7" t="s">
        <v>803</v>
      </c>
      <c r="D137" s="23">
        <v>20500</v>
      </c>
    </row>
    <row r="138" spans="1:4">
      <c r="A138" s="16">
        <v>45864</v>
      </c>
      <c r="B138" s="50" t="s">
        <v>804</v>
      </c>
      <c r="C138" s="7" t="s">
        <v>805</v>
      </c>
      <c r="D138" s="23">
        <v>2280</v>
      </c>
    </row>
    <row r="139" spans="1:4">
      <c r="A139" s="16">
        <v>45839</v>
      </c>
      <c r="B139" s="50" t="s">
        <v>819</v>
      </c>
      <c r="C139" s="7" t="s">
        <v>820</v>
      </c>
      <c r="D139" s="23">
        <v>13680</v>
      </c>
    </row>
    <row r="140" spans="1:4">
      <c r="A140" s="16">
        <v>45853</v>
      </c>
      <c r="B140" s="50" t="s">
        <v>823</v>
      </c>
      <c r="C140" s="7" t="s">
        <v>824</v>
      </c>
      <c r="D140" s="23">
        <v>5675</v>
      </c>
    </row>
    <row r="141" spans="1:4">
      <c r="A141" s="16">
        <v>45857</v>
      </c>
      <c r="B141" s="50" t="s">
        <v>836</v>
      </c>
      <c r="C141" s="7" t="s">
        <v>837</v>
      </c>
      <c r="D141" s="23">
        <v>10975</v>
      </c>
    </row>
    <row r="142" spans="1:4">
      <c r="A142" s="16">
        <v>45848</v>
      </c>
      <c r="B142" s="50" t="s">
        <v>838</v>
      </c>
      <c r="C142" s="7" t="s">
        <v>839</v>
      </c>
      <c r="D142" s="23">
        <v>3870</v>
      </c>
    </row>
    <row r="143" spans="1:4">
      <c r="A143" s="16">
        <v>45854</v>
      </c>
      <c r="B143" s="97" t="s">
        <v>847</v>
      </c>
      <c r="C143" s="99" t="s">
        <v>848</v>
      </c>
      <c r="D143" s="94">
        <v>32640</v>
      </c>
    </row>
    <row r="144" spans="1:4">
      <c r="A144" s="16">
        <v>45859</v>
      </c>
      <c r="B144" s="98"/>
      <c r="C144" s="100"/>
      <c r="D144" s="95"/>
    </row>
    <row r="145" spans="1:4">
      <c r="A145" s="16">
        <v>45867</v>
      </c>
      <c r="B145" s="50" t="s">
        <v>851</v>
      </c>
      <c r="C145" s="7"/>
      <c r="D145" s="23">
        <v>1760</v>
      </c>
    </row>
    <row r="146" spans="1:4">
      <c r="A146" s="16">
        <v>45869</v>
      </c>
      <c r="B146" s="50" t="s">
        <v>869</v>
      </c>
      <c r="C146" s="7"/>
      <c r="D146" s="23">
        <v>1893.75</v>
      </c>
    </row>
    <row r="147" spans="1:4">
      <c r="A147" s="16">
        <v>45846</v>
      </c>
      <c r="B147" s="50" t="s">
        <v>878</v>
      </c>
      <c r="C147" s="7" t="s">
        <v>879</v>
      </c>
      <c r="D147" s="23">
        <v>10200</v>
      </c>
    </row>
    <row r="148" spans="1:4">
      <c r="A148" s="16">
        <v>45841</v>
      </c>
      <c r="B148" s="50" t="s">
        <v>886</v>
      </c>
      <c r="C148" s="7" t="s">
        <v>887</v>
      </c>
      <c r="D148" s="23">
        <v>3628.5</v>
      </c>
    </row>
    <row r="149" spans="1:4">
      <c r="A149" s="16">
        <v>45841</v>
      </c>
      <c r="B149" s="97" t="s">
        <v>898</v>
      </c>
      <c r="C149" s="99" t="s">
        <v>899</v>
      </c>
      <c r="D149" s="94">
        <v>9050</v>
      </c>
    </row>
    <row r="150" spans="1:4">
      <c r="A150" s="16">
        <v>45853</v>
      </c>
      <c r="B150" s="98"/>
      <c r="C150" s="100"/>
      <c r="D150" s="95"/>
    </row>
    <row r="151" spans="1:4">
      <c r="A151" s="16">
        <v>45839</v>
      </c>
      <c r="B151" s="97" t="s">
        <v>910</v>
      </c>
      <c r="C151" s="99" t="s">
        <v>137</v>
      </c>
      <c r="D151" s="94">
        <v>10200</v>
      </c>
    </row>
    <row r="152" spans="1:4">
      <c r="A152" s="16">
        <v>45854</v>
      </c>
      <c r="B152" s="98"/>
      <c r="C152" s="100"/>
      <c r="D152" s="95"/>
    </row>
    <row r="153" spans="1:4">
      <c r="A153" s="17"/>
      <c r="B153" s="18" t="s">
        <v>918</v>
      </c>
      <c r="C153" s="7"/>
      <c r="D153" s="40">
        <f>SUM(D4:D152)</f>
        <v>8181225.1900000004</v>
      </c>
    </row>
  </sheetData>
  <sortState xmlns:xlrd2="http://schemas.microsoft.com/office/spreadsheetml/2017/richdata2" ref="A4:C152">
    <sortCondition ref="B4:B152"/>
  </sortState>
  <mergeCells count="83">
    <mergeCell ref="A1:B1"/>
    <mergeCell ref="A2:B2"/>
    <mergeCell ref="B4:B8"/>
    <mergeCell ref="C4:C8"/>
    <mergeCell ref="D4:D8"/>
    <mergeCell ref="B9:B10"/>
    <mergeCell ref="C9:C10"/>
    <mergeCell ref="D9:D10"/>
    <mergeCell ref="B13:B17"/>
    <mergeCell ref="C13:C17"/>
    <mergeCell ref="D13:D17"/>
    <mergeCell ref="B22:B25"/>
    <mergeCell ref="C22:C25"/>
    <mergeCell ref="D22:D25"/>
    <mergeCell ref="B26:B28"/>
    <mergeCell ref="C26:C28"/>
    <mergeCell ref="D26:D28"/>
    <mergeCell ref="B31:B32"/>
    <mergeCell ref="D31:D32"/>
    <mergeCell ref="C31:C32"/>
    <mergeCell ref="B35:B36"/>
    <mergeCell ref="C35:C36"/>
    <mergeCell ref="D35:D36"/>
    <mergeCell ref="B41:B42"/>
    <mergeCell ref="D41:D42"/>
    <mergeCell ref="C41:C42"/>
    <mergeCell ref="B49:B55"/>
    <mergeCell ref="C49:C55"/>
    <mergeCell ref="D49:D55"/>
    <mergeCell ref="B61:B62"/>
    <mergeCell ref="C61:C62"/>
    <mergeCell ref="D61:D62"/>
    <mergeCell ref="B64:B65"/>
    <mergeCell ref="C64:C65"/>
    <mergeCell ref="D64:D65"/>
    <mergeCell ref="B69:B70"/>
    <mergeCell ref="C69:C70"/>
    <mergeCell ref="D69:D70"/>
    <mergeCell ref="B73:B74"/>
    <mergeCell ref="C73:C74"/>
    <mergeCell ref="D73:D74"/>
    <mergeCell ref="B78:B79"/>
    <mergeCell ref="C78:C79"/>
    <mergeCell ref="D78:D79"/>
    <mergeCell ref="B80:B83"/>
    <mergeCell ref="C80:C83"/>
    <mergeCell ref="D80:D83"/>
    <mergeCell ref="B91:B92"/>
    <mergeCell ref="C91:C92"/>
    <mergeCell ref="D91:D92"/>
    <mergeCell ref="B93:B94"/>
    <mergeCell ref="C93:C94"/>
    <mergeCell ref="D93:D94"/>
    <mergeCell ref="B99:B100"/>
    <mergeCell ref="C99:C100"/>
    <mergeCell ref="D99:D100"/>
    <mergeCell ref="B105:B106"/>
    <mergeCell ref="C105:C106"/>
    <mergeCell ref="D105:D106"/>
    <mergeCell ref="B107:B108"/>
    <mergeCell ref="C107:C108"/>
    <mergeCell ref="D107:D108"/>
    <mergeCell ref="B113:B116"/>
    <mergeCell ref="C113:C116"/>
    <mergeCell ref="D113:D116"/>
    <mergeCell ref="B117:B118"/>
    <mergeCell ref="C117:C118"/>
    <mergeCell ref="D117:D118"/>
    <mergeCell ref="B119:B123"/>
    <mergeCell ref="C119:C123"/>
    <mergeCell ref="D119:D123"/>
    <mergeCell ref="B132:B133"/>
    <mergeCell ref="C132:C133"/>
    <mergeCell ref="D132:D133"/>
    <mergeCell ref="B143:B144"/>
    <mergeCell ref="C143:C144"/>
    <mergeCell ref="D143:D144"/>
    <mergeCell ref="B149:B150"/>
    <mergeCell ref="C149:C150"/>
    <mergeCell ref="D149:D150"/>
    <mergeCell ref="B151:B152"/>
    <mergeCell ref="C151:C152"/>
    <mergeCell ref="D151:D15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567DB-E02C-814A-A888-FBDEC9A5726A}">
  <dimension ref="A1:D153"/>
  <sheetViews>
    <sheetView topLeftCell="A133" workbookViewId="0">
      <selection activeCell="B4" sqref="B4"/>
    </sheetView>
  </sheetViews>
  <sheetFormatPr defaultColWidth="8.85546875" defaultRowHeight="15"/>
  <cols>
    <col min="1" max="1" width="9.7109375" style="1" customWidth="1"/>
    <col min="2" max="2" width="53.7109375" style="1" customWidth="1"/>
    <col min="3" max="3" width="17.7109375" style="1" customWidth="1"/>
    <col min="4" max="4" width="13.42578125" style="1" customWidth="1"/>
    <col min="5" max="16384" width="8.85546875" style="1"/>
  </cols>
  <sheetData>
    <row r="1" spans="1:4" ht="15.95" customHeight="1">
      <c r="A1" s="113" t="s">
        <v>912</v>
      </c>
      <c r="B1" s="113"/>
      <c r="C1" s="8"/>
      <c r="D1" s="42"/>
    </row>
    <row r="2" spans="1:4">
      <c r="A2" s="114" t="s">
        <v>926</v>
      </c>
      <c r="B2" s="114"/>
      <c r="C2" s="8"/>
      <c r="D2" s="42"/>
    </row>
    <row r="3" spans="1:4">
      <c r="A3" s="4" t="s">
        <v>914</v>
      </c>
      <c r="B3" s="5" t="s">
        <v>1</v>
      </c>
      <c r="C3" s="4" t="s">
        <v>2</v>
      </c>
      <c r="D3" s="42" t="s">
        <v>915</v>
      </c>
    </row>
    <row r="4" spans="1:4">
      <c r="A4" s="9">
        <v>45870</v>
      </c>
      <c r="B4" s="115" t="s">
        <v>37</v>
      </c>
      <c r="C4" s="114" t="s">
        <v>38</v>
      </c>
      <c r="D4" s="108">
        <v>16800</v>
      </c>
    </row>
    <row r="5" spans="1:4">
      <c r="A5" s="9">
        <v>45889</v>
      </c>
      <c r="B5" s="115"/>
      <c r="C5" s="114"/>
      <c r="D5" s="109"/>
    </row>
    <row r="6" spans="1:4">
      <c r="A6" s="9">
        <v>45881</v>
      </c>
      <c r="B6" s="51" t="s">
        <v>45</v>
      </c>
      <c r="C6" s="6"/>
      <c r="D6" s="43">
        <v>8400</v>
      </c>
    </row>
    <row r="7" spans="1:4">
      <c r="A7" s="9">
        <v>45873</v>
      </c>
      <c r="B7" s="104" t="s">
        <v>50</v>
      </c>
      <c r="C7" s="106" t="s">
        <v>51</v>
      </c>
      <c r="D7" s="108">
        <v>78025</v>
      </c>
    </row>
    <row r="8" spans="1:4">
      <c r="A8" s="9">
        <v>45882</v>
      </c>
      <c r="B8" s="110"/>
      <c r="C8" s="111"/>
      <c r="D8" s="112"/>
    </row>
    <row r="9" spans="1:4">
      <c r="A9" s="9">
        <v>45888</v>
      </c>
      <c r="B9" s="105"/>
      <c r="C9" s="107"/>
      <c r="D9" s="109"/>
    </row>
    <row r="10" spans="1:4">
      <c r="A10" s="9">
        <v>45896</v>
      </c>
      <c r="B10" s="51" t="s">
        <v>52</v>
      </c>
      <c r="C10" s="6"/>
      <c r="D10" s="43">
        <v>2314</v>
      </c>
    </row>
    <row r="11" spans="1:4">
      <c r="A11" s="9">
        <v>45873</v>
      </c>
      <c r="B11" s="51" t="s">
        <v>62</v>
      </c>
      <c r="C11" s="6"/>
      <c r="D11" s="43">
        <v>28917.05</v>
      </c>
    </row>
    <row r="12" spans="1:4">
      <c r="A12" s="9">
        <v>45882</v>
      </c>
      <c r="B12" s="51" t="s">
        <v>73</v>
      </c>
      <c r="C12" s="6" t="s">
        <v>74</v>
      </c>
      <c r="D12" s="43">
        <v>3300</v>
      </c>
    </row>
    <row r="13" spans="1:4">
      <c r="A13" s="9">
        <v>45882</v>
      </c>
      <c r="B13" s="51" t="s">
        <v>76</v>
      </c>
      <c r="C13" s="6" t="s">
        <v>77</v>
      </c>
      <c r="D13" s="43">
        <v>1650</v>
      </c>
    </row>
    <row r="14" spans="1:4">
      <c r="A14" s="9">
        <v>45887</v>
      </c>
      <c r="B14" s="51" t="s">
        <v>80</v>
      </c>
      <c r="C14" s="6"/>
      <c r="D14" s="43">
        <v>4200</v>
      </c>
    </row>
    <row r="15" spans="1:4">
      <c r="A15" s="9">
        <v>45874</v>
      </c>
      <c r="B15" s="104" t="s">
        <v>84</v>
      </c>
      <c r="C15" s="106" t="s">
        <v>85</v>
      </c>
      <c r="D15" s="108">
        <v>40500</v>
      </c>
    </row>
    <row r="16" spans="1:4">
      <c r="A16" s="9">
        <v>45881</v>
      </c>
      <c r="B16" s="105"/>
      <c r="C16" s="107"/>
      <c r="D16" s="109"/>
    </row>
    <row r="17" spans="1:4">
      <c r="A17" s="9">
        <v>45871</v>
      </c>
      <c r="B17" s="104" t="s">
        <v>88</v>
      </c>
      <c r="C17" s="106" t="s">
        <v>89</v>
      </c>
      <c r="D17" s="108">
        <v>9160</v>
      </c>
    </row>
    <row r="18" spans="1:4">
      <c r="A18" s="9">
        <v>45887</v>
      </c>
      <c r="B18" s="105"/>
      <c r="C18" s="107"/>
      <c r="D18" s="109"/>
    </row>
    <row r="19" spans="1:4">
      <c r="A19" s="9">
        <v>45895</v>
      </c>
      <c r="B19" s="51" t="s">
        <v>93</v>
      </c>
      <c r="C19" s="6" t="s">
        <v>94</v>
      </c>
      <c r="D19" s="43">
        <v>370</v>
      </c>
    </row>
    <row r="20" spans="1:4">
      <c r="A20" s="9">
        <v>45877</v>
      </c>
      <c r="B20" s="51" t="s">
        <v>102</v>
      </c>
      <c r="C20" s="6" t="s">
        <v>103</v>
      </c>
      <c r="D20" s="43">
        <v>2415</v>
      </c>
    </row>
    <row r="21" spans="1:4">
      <c r="A21" s="9">
        <v>45874</v>
      </c>
      <c r="B21" s="104" t="s">
        <v>108</v>
      </c>
      <c r="C21" s="106" t="s">
        <v>109</v>
      </c>
      <c r="D21" s="108">
        <v>189275</v>
      </c>
    </row>
    <row r="22" spans="1:4">
      <c r="A22" s="9">
        <v>45882</v>
      </c>
      <c r="B22" s="110"/>
      <c r="C22" s="111"/>
      <c r="D22" s="112"/>
    </row>
    <row r="23" spans="1:4">
      <c r="A23" s="9">
        <v>45883</v>
      </c>
      <c r="B23" s="110"/>
      <c r="C23" s="111"/>
      <c r="D23" s="112"/>
    </row>
    <row r="24" spans="1:4">
      <c r="A24" s="9">
        <v>45888</v>
      </c>
      <c r="B24" s="110"/>
      <c r="C24" s="111"/>
      <c r="D24" s="112"/>
    </row>
    <row r="25" spans="1:4">
      <c r="A25" s="9">
        <v>45891</v>
      </c>
      <c r="B25" s="105"/>
      <c r="C25" s="107"/>
      <c r="D25" s="109"/>
    </row>
    <row r="26" spans="1:4">
      <c r="A26" s="9">
        <v>45873</v>
      </c>
      <c r="B26" s="104" t="s">
        <v>110</v>
      </c>
      <c r="C26" s="106" t="s">
        <v>111</v>
      </c>
      <c r="D26" s="108">
        <v>299300</v>
      </c>
    </row>
    <row r="27" spans="1:4">
      <c r="A27" s="9">
        <v>45882</v>
      </c>
      <c r="B27" s="110"/>
      <c r="C27" s="111"/>
      <c r="D27" s="112"/>
    </row>
    <row r="28" spans="1:4">
      <c r="A28" s="9">
        <v>45892</v>
      </c>
      <c r="B28" s="110"/>
      <c r="C28" s="111"/>
      <c r="D28" s="112"/>
    </row>
    <row r="29" spans="1:4">
      <c r="A29" s="9">
        <v>45897</v>
      </c>
      <c r="B29" s="105"/>
      <c r="C29" s="107"/>
      <c r="D29" s="109"/>
    </row>
    <row r="30" spans="1:4">
      <c r="A30" s="9">
        <v>45883</v>
      </c>
      <c r="B30" s="51" t="s">
        <v>115</v>
      </c>
      <c r="C30" s="6"/>
      <c r="D30" s="43">
        <v>1200</v>
      </c>
    </row>
    <row r="31" spans="1:4">
      <c r="A31" s="9">
        <v>45874</v>
      </c>
      <c r="B31" s="51" t="s">
        <v>116</v>
      </c>
      <c r="C31" s="6" t="s">
        <v>117</v>
      </c>
      <c r="D31" s="43">
        <v>1200</v>
      </c>
    </row>
    <row r="32" spans="1:4">
      <c r="A32" s="9">
        <v>45887</v>
      </c>
      <c r="B32" s="51" t="s">
        <v>120</v>
      </c>
      <c r="C32" s="6" t="s">
        <v>121</v>
      </c>
      <c r="D32" s="43">
        <v>21000</v>
      </c>
    </row>
    <row r="33" spans="1:4">
      <c r="A33" s="9">
        <v>45881</v>
      </c>
      <c r="B33" s="51" t="s">
        <v>127</v>
      </c>
      <c r="C33" s="6"/>
      <c r="D33" s="43">
        <v>16500</v>
      </c>
    </row>
    <row r="34" spans="1:4">
      <c r="A34" s="9">
        <v>45874</v>
      </c>
      <c r="B34" s="104" t="s">
        <v>136</v>
      </c>
      <c r="C34" s="106" t="s">
        <v>137</v>
      </c>
      <c r="D34" s="108">
        <v>63960</v>
      </c>
    </row>
    <row r="35" spans="1:4">
      <c r="A35" s="9">
        <v>45880</v>
      </c>
      <c r="B35" s="110"/>
      <c r="C35" s="111"/>
      <c r="D35" s="112"/>
    </row>
    <row r="36" spans="1:4">
      <c r="A36" s="9">
        <v>45890</v>
      </c>
      <c r="B36" s="105"/>
      <c r="C36" s="107"/>
      <c r="D36" s="109"/>
    </row>
    <row r="37" spans="1:4">
      <c r="A37" s="9">
        <v>45871</v>
      </c>
      <c r="B37" s="51" t="s">
        <v>145</v>
      </c>
      <c r="C37" s="6" t="s">
        <v>146</v>
      </c>
      <c r="D37" s="43">
        <v>18920</v>
      </c>
    </row>
    <row r="38" spans="1:4">
      <c r="A38" s="9">
        <v>45883</v>
      </c>
      <c r="B38" s="104" t="s">
        <v>147</v>
      </c>
      <c r="C38" s="106" t="s">
        <v>148</v>
      </c>
      <c r="D38" s="108">
        <v>30480</v>
      </c>
    </row>
    <row r="39" spans="1:4">
      <c r="A39" s="9">
        <v>45896</v>
      </c>
      <c r="B39" s="110"/>
      <c r="C39" s="111"/>
      <c r="D39" s="112"/>
    </row>
    <row r="40" spans="1:4">
      <c r="A40" s="9">
        <v>45899</v>
      </c>
      <c r="B40" s="105"/>
      <c r="C40" s="107"/>
      <c r="D40" s="109"/>
    </row>
    <row r="41" spans="1:4">
      <c r="A41" s="9">
        <v>45894</v>
      </c>
      <c r="B41" s="51" t="s">
        <v>156</v>
      </c>
      <c r="C41" s="6" t="s">
        <v>157</v>
      </c>
      <c r="D41" s="43">
        <v>35000</v>
      </c>
    </row>
    <row r="42" spans="1:4">
      <c r="A42" s="9">
        <v>45895</v>
      </c>
      <c r="B42" s="51" t="s">
        <v>174</v>
      </c>
      <c r="C42" s="6"/>
      <c r="D42" s="43">
        <v>750</v>
      </c>
    </row>
    <row r="43" spans="1:4">
      <c r="A43" s="9">
        <v>45874</v>
      </c>
      <c r="B43" s="51" t="s">
        <v>197</v>
      </c>
      <c r="C43" s="6"/>
      <c r="D43" s="43">
        <v>4140</v>
      </c>
    </row>
    <row r="44" spans="1:4">
      <c r="A44" s="9">
        <v>45880</v>
      </c>
      <c r="B44" s="51" t="s">
        <v>200</v>
      </c>
      <c r="C44" s="6" t="s">
        <v>201</v>
      </c>
      <c r="D44" s="43">
        <v>8400</v>
      </c>
    </row>
    <row r="45" spans="1:4">
      <c r="A45" s="9">
        <v>45898</v>
      </c>
      <c r="B45" s="51" t="s">
        <v>206</v>
      </c>
      <c r="C45" s="6" t="s">
        <v>207</v>
      </c>
      <c r="D45" s="43">
        <v>17500</v>
      </c>
    </row>
    <row r="46" spans="1:4">
      <c r="A46" s="9">
        <v>45887</v>
      </c>
      <c r="B46" s="51" t="s">
        <v>210</v>
      </c>
      <c r="C46" s="6" t="s">
        <v>211</v>
      </c>
      <c r="D46" s="43">
        <v>15200</v>
      </c>
    </row>
    <row r="47" spans="1:4">
      <c r="A47" s="9">
        <v>45889</v>
      </c>
      <c r="B47" s="104" t="s">
        <v>213</v>
      </c>
      <c r="C47" s="106" t="s">
        <v>214</v>
      </c>
      <c r="D47" s="108">
        <v>252950</v>
      </c>
    </row>
    <row r="48" spans="1:4">
      <c r="A48" s="9">
        <v>45891</v>
      </c>
      <c r="B48" s="110"/>
      <c r="C48" s="111"/>
      <c r="D48" s="112"/>
    </row>
    <row r="49" spans="1:4">
      <c r="A49" s="9">
        <v>45896</v>
      </c>
      <c r="B49" s="105"/>
      <c r="C49" s="107"/>
      <c r="D49" s="109"/>
    </row>
    <row r="50" spans="1:4">
      <c r="A50" s="9">
        <v>45871</v>
      </c>
      <c r="B50" s="104" t="s">
        <v>215</v>
      </c>
      <c r="C50" s="106" t="s">
        <v>216</v>
      </c>
      <c r="D50" s="108">
        <v>39600</v>
      </c>
    </row>
    <row r="51" spans="1:4">
      <c r="A51" s="9">
        <v>45875</v>
      </c>
      <c r="B51" s="110"/>
      <c r="C51" s="111"/>
      <c r="D51" s="112"/>
    </row>
    <row r="52" spans="1:4">
      <c r="A52" s="9">
        <v>45876</v>
      </c>
      <c r="B52" s="105"/>
      <c r="C52" s="107"/>
      <c r="D52" s="109"/>
    </row>
    <row r="53" spans="1:4">
      <c r="A53" s="9">
        <v>45874</v>
      </c>
      <c r="B53" s="104" t="s">
        <v>221</v>
      </c>
      <c r="C53" s="106"/>
      <c r="D53" s="108">
        <v>30600</v>
      </c>
    </row>
    <row r="54" spans="1:4">
      <c r="A54" s="9">
        <v>45887</v>
      </c>
      <c r="B54" s="110"/>
      <c r="C54" s="111"/>
      <c r="D54" s="112"/>
    </row>
    <row r="55" spans="1:4">
      <c r="A55" s="9">
        <v>45890</v>
      </c>
      <c r="B55" s="105"/>
      <c r="C55" s="107"/>
      <c r="D55" s="109"/>
    </row>
    <row r="56" spans="1:4">
      <c r="A56" s="9">
        <v>45873</v>
      </c>
      <c r="B56" s="104" t="s">
        <v>232</v>
      </c>
      <c r="C56" s="106" t="s">
        <v>233</v>
      </c>
      <c r="D56" s="108">
        <v>36800</v>
      </c>
    </row>
    <row r="57" spans="1:4">
      <c r="A57" s="9">
        <v>45874</v>
      </c>
      <c r="B57" s="105"/>
      <c r="C57" s="107"/>
      <c r="D57" s="109"/>
    </row>
    <row r="58" spans="1:4">
      <c r="A58" s="9">
        <v>45870</v>
      </c>
      <c r="B58" s="104" t="s">
        <v>253</v>
      </c>
      <c r="C58" s="106" t="s">
        <v>254</v>
      </c>
      <c r="D58" s="108">
        <v>24700</v>
      </c>
    </row>
    <row r="59" spans="1:4">
      <c r="A59" s="9">
        <v>45870</v>
      </c>
      <c r="B59" s="110"/>
      <c r="C59" s="111"/>
      <c r="D59" s="112"/>
    </row>
    <row r="60" spans="1:4">
      <c r="A60" s="9">
        <v>45874</v>
      </c>
      <c r="B60" s="105"/>
      <c r="C60" s="107"/>
      <c r="D60" s="109"/>
    </row>
    <row r="61" spans="1:4">
      <c r="A61" s="9">
        <v>45888</v>
      </c>
      <c r="B61" s="104" t="s">
        <v>273</v>
      </c>
      <c r="C61" s="106" t="s">
        <v>274</v>
      </c>
      <c r="D61" s="108">
        <v>160000</v>
      </c>
    </row>
    <row r="62" spans="1:4">
      <c r="A62" s="9">
        <v>45890</v>
      </c>
      <c r="B62" s="110"/>
      <c r="C62" s="111"/>
      <c r="D62" s="112"/>
    </row>
    <row r="63" spans="1:4">
      <c r="A63" s="9">
        <v>45891</v>
      </c>
      <c r="B63" s="105"/>
      <c r="C63" s="107"/>
      <c r="D63" s="109"/>
    </row>
    <row r="64" spans="1:4">
      <c r="A64" s="9">
        <v>45892</v>
      </c>
      <c r="B64" s="51" t="s">
        <v>278</v>
      </c>
      <c r="C64" s="6" t="s">
        <v>279</v>
      </c>
      <c r="D64" s="43">
        <v>13176</v>
      </c>
    </row>
    <row r="65" spans="1:4">
      <c r="A65" s="9">
        <v>45881</v>
      </c>
      <c r="B65" s="51" t="s">
        <v>280</v>
      </c>
      <c r="C65" s="6" t="s">
        <v>281</v>
      </c>
      <c r="D65" s="43">
        <v>50000</v>
      </c>
    </row>
    <row r="66" spans="1:4">
      <c r="A66" s="9">
        <v>45898</v>
      </c>
      <c r="B66" s="51" t="s">
        <v>298</v>
      </c>
      <c r="C66" s="6" t="s">
        <v>299</v>
      </c>
      <c r="D66" s="43">
        <v>3960</v>
      </c>
    </row>
    <row r="67" spans="1:4">
      <c r="A67" s="9">
        <v>45898</v>
      </c>
      <c r="B67" s="51" t="s">
        <v>309</v>
      </c>
      <c r="C67" s="6" t="s">
        <v>310</v>
      </c>
      <c r="D67" s="43">
        <v>110000</v>
      </c>
    </row>
    <row r="68" spans="1:4">
      <c r="A68" s="9">
        <v>45887</v>
      </c>
      <c r="B68" s="51" t="s">
        <v>311</v>
      </c>
      <c r="C68" s="6" t="s">
        <v>312</v>
      </c>
      <c r="D68" s="43">
        <v>2940</v>
      </c>
    </row>
    <row r="69" spans="1:4">
      <c r="A69" s="9">
        <v>45894</v>
      </c>
      <c r="B69" s="51" t="s">
        <v>316</v>
      </c>
      <c r="C69" s="6" t="s">
        <v>317</v>
      </c>
      <c r="D69" s="43">
        <v>16680</v>
      </c>
    </row>
    <row r="70" spans="1:4">
      <c r="A70" s="9">
        <v>45883</v>
      </c>
      <c r="B70" s="51" t="s">
        <v>334</v>
      </c>
      <c r="C70" s="6" t="s">
        <v>335</v>
      </c>
      <c r="D70" s="43">
        <v>15090</v>
      </c>
    </row>
    <row r="71" spans="1:4">
      <c r="A71" s="9">
        <v>45873</v>
      </c>
      <c r="B71" s="104" t="s">
        <v>351</v>
      </c>
      <c r="C71" s="106" t="s">
        <v>352</v>
      </c>
      <c r="D71" s="108">
        <v>95000</v>
      </c>
    </row>
    <row r="72" spans="1:4">
      <c r="A72" s="9">
        <v>45874</v>
      </c>
      <c r="B72" s="105"/>
      <c r="C72" s="107"/>
      <c r="D72" s="109"/>
    </row>
    <row r="73" spans="1:4">
      <c r="A73" s="9">
        <v>45888</v>
      </c>
      <c r="B73" s="51" t="s">
        <v>353</v>
      </c>
      <c r="C73" s="6" t="s">
        <v>354</v>
      </c>
      <c r="D73" s="43">
        <v>17375</v>
      </c>
    </row>
    <row r="74" spans="1:4">
      <c r="A74" s="9">
        <v>45896</v>
      </c>
      <c r="B74" s="51" t="s">
        <v>372</v>
      </c>
      <c r="C74" s="6" t="s">
        <v>373</v>
      </c>
      <c r="D74" s="43">
        <v>28560</v>
      </c>
    </row>
    <row r="75" spans="1:4">
      <c r="A75" s="9">
        <v>45895</v>
      </c>
      <c r="B75" s="51" t="s">
        <v>394</v>
      </c>
      <c r="C75" s="6"/>
      <c r="D75" s="43">
        <v>1097</v>
      </c>
    </row>
    <row r="76" spans="1:4">
      <c r="A76" s="9">
        <v>45891</v>
      </c>
      <c r="B76" s="104" t="s">
        <v>402</v>
      </c>
      <c r="C76" s="106" t="s">
        <v>403</v>
      </c>
      <c r="D76" s="108">
        <v>10950</v>
      </c>
    </row>
    <row r="77" spans="1:4">
      <c r="A77" s="9">
        <v>45897</v>
      </c>
      <c r="B77" s="105"/>
      <c r="C77" s="107"/>
      <c r="D77" s="109"/>
    </row>
    <row r="78" spans="1:4">
      <c r="A78" s="9">
        <v>45875</v>
      </c>
      <c r="B78" s="51" t="s">
        <v>406</v>
      </c>
      <c r="C78" s="6" t="s">
        <v>407</v>
      </c>
      <c r="D78" s="43">
        <v>5900</v>
      </c>
    </row>
    <row r="79" spans="1:4">
      <c r="A79" s="9">
        <v>45870</v>
      </c>
      <c r="B79" s="104" t="s">
        <v>410</v>
      </c>
      <c r="C79" s="106" t="s">
        <v>411</v>
      </c>
      <c r="D79" s="108">
        <v>10900</v>
      </c>
    </row>
    <row r="80" spans="1:4">
      <c r="A80" s="9">
        <v>45890</v>
      </c>
      <c r="B80" s="105"/>
      <c r="C80" s="107"/>
      <c r="D80" s="109"/>
    </row>
    <row r="81" spans="1:4">
      <c r="A81" s="9">
        <v>45896</v>
      </c>
      <c r="B81" s="51" t="s">
        <v>427</v>
      </c>
      <c r="C81" s="6" t="s">
        <v>428</v>
      </c>
      <c r="D81" s="43">
        <v>38250</v>
      </c>
    </row>
    <row r="82" spans="1:4">
      <c r="A82" s="9">
        <v>45871</v>
      </c>
      <c r="B82" s="51" t="s">
        <v>434</v>
      </c>
      <c r="C82" s="6" t="s">
        <v>435</v>
      </c>
      <c r="D82" s="43">
        <v>2375</v>
      </c>
    </row>
    <row r="83" spans="1:4">
      <c r="A83" s="9">
        <v>45880</v>
      </c>
      <c r="B83" s="104" t="s">
        <v>442</v>
      </c>
      <c r="C83" s="106" t="s">
        <v>443</v>
      </c>
      <c r="D83" s="108">
        <v>231500</v>
      </c>
    </row>
    <row r="84" spans="1:4">
      <c r="A84" s="9">
        <v>45899</v>
      </c>
      <c r="B84" s="105"/>
      <c r="C84" s="107"/>
      <c r="D84" s="109"/>
    </row>
    <row r="85" spans="1:4">
      <c r="A85" s="9">
        <v>45870</v>
      </c>
      <c r="B85" s="51" t="s">
        <v>446</v>
      </c>
      <c r="C85" s="6" t="s">
        <v>447</v>
      </c>
      <c r="D85" s="43">
        <v>8200</v>
      </c>
    </row>
    <row r="86" spans="1:4">
      <c r="A86" s="9">
        <v>45900</v>
      </c>
      <c r="B86" s="51" t="s">
        <v>449</v>
      </c>
      <c r="C86" s="6" t="s">
        <v>450</v>
      </c>
      <c r="D86" s="43">
        <v>68000</v>
      </c>
    </row>
    <row r="87" spans="1:4">
      <c r="A87" s="9">
        <v>45877</v>
      </c>
      <c r="B87" s="51" t="s">
        <v>460</v>
      </c>
      <c r="C87" s="6" t="s">
        <v>461</v>
      </c>
      <c r="D87" s="43">
        <v>30000</v>
      </c>
    </row>
    <row r="88" spans="1:4">
      <c r="A88" s="9">
        <v>45874</v>
      </c>
      <c r="B88" s="104" t="s">
        <v>464</v>
      </c>
      <c r="C88" s="106" t="s">
        <v>465</v>
      </c>
      <c r="D88" s="108">
        <v>39030</v>
      </c>
    </row>
    <row r="89" spans="1:4">
      <c r="A89" s="9">
        <v>45887</v>
      </c>
      <c r="B89" s="110"/>
      <c r="C89" s="111"/>
      <c r="D89" s="112"/>
    </row>
    <row r="90" spans="1:4">
      <c r="A90" s="9">
        <v>45889</v>
      </c>
      <c r="B90" s="105"/>
      <c r="C90" s="107"/>
      <c r="D90" s="109"/>
    </row>
    <row r="91" spans="1:4">
      <c r="A91" s="9">
        <v>45884</v>
      </c>
      <c r="B91" s="51" t="s">
        <v>487</v>
      </c>
      <c r="C91" s="6" t="s">
        <v>488</v>
      </c>
      <c r="D91" s="43">
        <v>72000</v>
      </c>
    </row>
    <row r="92" spans="1:4">
      <c r="A92" s="9">
        <v>45875</v>
      </c>
      <c r="B92" s="51" t="s">
        <v>495</v>
      </c>
      <c r="C92" s="6" t="s">
        <v>496</v>
      </c>
      <c r="D92" s="43">
        <v>1450</v>
      </c>
    </row>
    <row r="93" spans="1:4">
      <c r="A93" s="9">
        <v>45887</v>
      </c>
      <c r="B93" s="51" t="s">
        <v>508</v>
      </c>
      <c r="C93" s="6" t="s">
        <v>509</v>
      </c>
      <c r="D93" s="43">
        <v>279.5</v>
      </c>
    </row>
    <row r="94" spans="1:4">
      <c r="A94" s="9">
        <v>45889</v>
      </c>
      <c r="B94" s="51" t="s">
        <v>510</v>
      </c>
      <c r="C94" s="6" t="s">
        <v>511</v>
      </c>
      <c r="D94" s="43">
        <v>3613</v>
      </c>
    </row>
    <row r="95" spans="1:4">
      <c r="A95" s="9">
        <v>45877</v>
      </c>
      <c r="B95" s="51" t="s">
        <v>521</v>
      </c>
      <c r="C95" s="6" t="s">
        <v>522</v>
      </c>
      <c r="D95" s="43">
        <v>4575</v>
      </c>
    </row>
    <row r="96" spans="1:4">
      <c r="A96" s="9">
        <v>45876</v>
      </c>
      <c r="B96" s="51" t="s">
        <v>523</v>
      </c>
      <c r="C96" s="6"/>
      <c r="D96" s="43">
        <v>12690</v>
      </c>
    </row>
    <row r="97" spans="1:4">
      <c r="A97" s="9">
        <v>45877</v>
      </c>
      <c r="B97" s="104" t="s">
        <v>526</v>
      </c>
      <c r="C97" s="106" t="s">
        <v>527</v>
      </c>
      <c r="D97" s="108">
        <v>75140</v>
      </c>
    </row>
    <row r="98" spans="1:4">
      <c r="A98" s="9">
        <v>45891</v>
      </c>
      <c r="B98" s="105"/>
      <c r="C98" s="107"/>
      <c r="D98" s="109"/>
    </row>
    <row r="99" spans="1:4">
      <c r="A99" s="9">
        <v>45873</v>
      </c>
      <c r="B99" s="51" t="s">
        <v>545</v>
      </c>
      <c r="C99" s="6" t="s">
        <v>546</v>
      </c>
      <c r="D99" s="43">
        <v>8800</v>
      </c>
    </row>
    <row r="100" spans="1:4">
      <c r="A100" s="9">
        <v>45898</v>
      </c>
      <c r="B100" s="51" t="s">
        <v>550</v>
      </c>
      <c r="C100" s="6" t="s">
        <v>551</v>
      </c>
      <c r="D100" s="43">
        <v>3600</v>
      </c>
    </row>
    <row r="101" spans="1:4">
      <c r="A101" s="9">
        <v>45870</v>
      </c>
      <c r="B101" s="104" t="s">
        <v>552</v>
      </c>
      <c r="C101" s="106" t="s">
        <v>553</v>
      </c>
      <c r="D101" s="108">
        <v>63750</v>
      </c>
    </row>
    <row r="102" spans="1:4">
      <c r="A102" s="9">
        <v>45887</v>
      </c>
      <c r="B102" s="105"/>
      <c r="C102" s="107"/>
      <c r="D102" s="109"/>
    </row>
    <row r="103" spans="1:4">
      <c r="A103" s="9">
        <v>45898</v>
      </c>
      <c r="B103" s="51" t="s">
        <v>569</v>
      </c>
      <c r="C103" s="6"/>
      <c r="D103" s="43">
        <v>840</v>
      </c>
    </row>
    <row r="104" spans="1:4">
      <c r="A104" s="9">
        <v>45888</v>
      </c>
      <c r="B104" s="51" t="s">
        <v>574</v>
      </c>
      <c r="C104" s="6" t="s">
        <v>575</v>
      </c>
      <c r="D104" s="43">
        <v>55600</v>
      </c>
    </row>
    <row r="105" spans="1:4">
      <c r="A105" s="9">
        <v>45874</v>
      </c>
      <c r="B105" s="51" t="s">
        <v>580</v>
      </c>
      <c r="C105" s="6" t="s">
        <v>581</v>
      </c>
      <c r="D105" s="43">
        <v>6200</v>
      </c>
    </row>
    <row r="106" spans="1:4">
      <c r="A106" s="9">
        <v>45874</v>
      </c>
      <c r="B106" s="104" t="s">
        <v>588</v>
      </c>
      <c r="C106" s="106"/>
      <c r="D106" s="108">
        <v>7350</v>
      </c>
    </row>
    <row r="107" spans="1:4">
      <c r="A107" s="9">
        <v>45895</v>
      </c>
      <c r="B107" s="105"/>
      <c r="C107" s="107"/>
      <c r="D107" s="109"/>
    </row>
    <row r="108" spans="1:4">
      <c r="A108" s="9">
        <v>45895</v>
      </c>
      <c r="B108" s="51" t="s">
        <v>590</v>
      </c>
      <c r="C108" s="6" t="s">
        <v>591</v>
      </c>
      <c r="D108" s="43">
        <v>3900</v>
      </c>
    </row>
    <row r="109" spans="1:4">
      <c r="A109" s="9">
        <v>45887</v>
      </c>
      <c r="B109" s="51" t="s">
        <v>598</v>
      </c>
      <c r="C109" s="6" t="s">
        <v>599</v>
      </c>
      <c r="D109" s="43">
        <v>35250</v>
      </c>
    </row>
    <row r="110" spans="1:4">
      <c r="A110" s="9">
        <v>45899</v>
      </c>
      <c r="B110" s="51" t="s">
        <v>614</v>
      </c>
      <c r="C110" s="6" t="s">
        <v>615</v>
      </c>
      <c r="D110" s="43">
        <v>4655</v>
      </c>
    </row>
    <row r="111" spans="1:4">
      <c r="A111" s="9">
        <v>45874</v>
      </c>
      <c r="B111" s="104" t="s">
        <v>621</v>
      </c>
      <c r="C111" s="106" t="s">
        <v>622</v>
      </c>
      <c r="D111" s="108">
        <v>35225</v>
      </c>
    </row>
    <row r="112" spans="1:4">
      <c r="A112" s="9">
        <v>45876</v>
      </c>
      <c r="B112" s="110"/>
      <c r="C112" s="111"/>
      <c r="D112" s="112"/>
    </row>
    <row r="113" spans="1:4">
      <c r="A113" s="9">
        <v>45880</v>
      </c>
      <c r="B113" s="105"/>
      <c r="C113" s="107"/>
      <c r="D113" s="109"/>
    </row>
    <row r="114" spans="1:4">
      <c r="A114" s="9">
        <v>45891</v>
      </c>
      <c r="B114" s="51" t="s">
        <v>625</v>
      </c>
      <c r="C114" s="6" t="s">
        <v>626</v>
      </c>
      <c r="D114" s="43">
        <v>1250</v>
      </c>
    </row>
    <row r="115" spans="1:4">
      <c r="A115" s="9">
        <v>45891</v>
      </c>
      <c r="B115" s="51" t="s">
        <v>635</v>
      </c>
      <c r="C115" s="6"/>
      <c r="D115" s="43">
        <v>1050</v>
      </c>
    </row>
    <row r="116" spans="1:4">
      <c r="A116" s="9">
        <v>45870</v>
      </c>
      <c r="B116" s="104" t="s">
        <v>655</v>
      </c>
      <c r="C116" s="106" t="s">
        <v>656</v>
      </c>
      <c r="D116" s="108">
        <v>39200</v>
      </c>
    </row>
    <row r="117" spans="1:4">
      <c r="A117" s="9">
        <v>45876</v>
      </c>
      <c r="B117" s="110"/>
      <c r="C117" s="111"/>
      <c r="D117" s="112"/>
    </row>
    <row r="118" spans="1:4">
      <c r="A118" s="9">
        <v>45883</v>
      </c>
      <c r="B118" s="110"/>
      <c r="C118" s="111"/>
      <c r="D118" s="112"/>
    </row>
    <row r="119" spans="1:4">
      <c r="A119" s="9">
        <v>45891</v>
      </c>
      <c r="B119" s="105"/>
      <c r="C119" s="107"/>
      <c r="D119" s="109"/>
    </row>
    <row r="120" spans="1:4">
      <c r="A120" s="9">
        <v>45882</v>
      </c>
      <c r="B120" s="51" t="s">
        <v>691</v>
      </c>
      <c r="C120" s="6" t="s">
        <v>692</v>
      </c>
      <c r="D120" s="43">
        <v>16720</v>
      </c>
    </row>
    <row r="121" spans="1:4">
      <c r="A121" s="9">
        <v>45892</v>
      </c>
      <c r="B121" s="104" t="s">
        <v>693</v>
      </c>
      <c r="C121" s="106" t="s">
        <v>694</v>
      </c>
      <c r="D121" s="108">
        <v>78120</v>
      </c>
    </row>
    <row r="122" spans="1:4">
      <c r="A122" s="9">
        <v>45892</v>
      </c>
      <c r="B122" s="105"/>
      <c r="C122" s="107"/>
      <c r="D122" s="109"/>
    </row>
    <row r="123" spans="1:4">
      <c r="A123" s="9">
        <v>45871</v>
      </c>
      <c r="B123" s="51" t="s">
        <v>697</v>
      </c>
      <c r="C123" s="6" t="s">
        <v>698</v>
      </c>
      <c r="D123" s="43">
        <v>2125</v>
      </c>
    </row>
    <row r="124" spans="1:4">
      <c r="A124" s="9">
        <v>45892</v>
      </c>
      <c r="B124" s="51" t="s">
        <v>700</v>
      </c>
      <c r="C124" s="6"/>
      <c r="D124" s="43">
        <v>2344</v>
      </c>
    </row>
    <row r="125" spans="1:4">
      <c r="A125" s="9">
        <v>45891</v>
      </c>
      <c r="B125" s="51" t="s">
        <v>701</v>
      </c>
      <c r="C125" s="6"/>
      <c r="D125" s="43">
        <v>487.5</v>
      </c>
    </row>
    <row r="126" spans="1:4">
      <c r="A126" s="9">
        <v>45882</v>
      </c>
      <c r="B126" s="104" t="s">
        <v>703</v>
      </c>
      <c r="C126" s="106" t="s">
        <v>704</v>
      </c>
      <c r="D126" s="108">
        <v>18280</v>
      </c>
    </row>
    <row r="127" spans="1:4">
      <c r="A127" s="9">
        <v>45890</v>
      </c>
      <c r="B127" s="105"/>
      <c r="C127" s="107"/>
      <c r="D127" s="109"/>
    </row>
    <row r="128" spans="1:4">
      <c r="A128" s="9">
        <v>45874</v>
      </c>
      <c r="B128" s="51" t="s">
        <v>707</v>
      </c>
      <c r="C128" s="6" t="s">
        <v>708</v>
      </c>
      <c r="D128" s="43">
        <v>2660</v>
      </c>
    </row>
    <row r="129" spans="1:4">
      <c r="A129" s="9">
        <v>45889</v>
      </c>
      <c r="B129" s="51" t="s">
        <v>714</v>
      </c>
      <c r="C129" s="6" t="s">
        <v>715</v>
      </c>
      <c r="D129" s="43">
        <v>5400</v>
      </c>
    </row>
    <row r="130" spans="1:4">
      <c r="A130" s="9">
        <v>45871</v>
      </c>
      <c r="B130" s="51" t="s">
        <v>719</v>
      </c>
      <c r="C130" s="6"/>
      <c r="D130" s="43">
        <v>4970</v>
      </c>
    </row>
    <row r="131" spans="1:4">
      <c r="A131" s="9">
        <v>45888</v>
      </c>
      <c r="B131" s="51" t="s">
        <v>758</v>
      </c>
      <c r="C131" s="6" t="s">
        <v>759</v>
      </c>
      <c r="D131" s="43">
        <v>123000</v>
      </c>
    </row>
    <row r="132" spans="1:4">
      <c r="A132" s="9">
        <v>45891</v>
      </c>
      <c r="B132" s="51" t="s">
        <v>760</v>
      </c>
      <c r="C132" s="6" t="s">
        <v>761</v>
      </c>
      <c r="D132" s="43">
        <v>37200</v>
      </c>
    </row>
    <row r="133" spans="1:4">
      <c r="A133" s="9">
        <v>45894</v>
      </c>
      <c r="B133" s="51" t="s">
        <v>766</v>
      </c>
      <c r="C133" s="6" t="s">
        <v>767</v>
      </c>
      <c r="D133" s="43">
        <v>38500</v>
      </c>
    </row>
    <row r="134" spans="1:4">
      <c r="A134" s="9">
        <v>45875</v>
      </c>
      <c r="B134" s="104" t="s">
        <v>776</v>
      </c>
      <c r="C134" s="106" t="s">
        <v>777</v>
      </c>
      <c r="D134" s="108">
        <v>45500</v>
      </c>
    </row>
    <row r="135" spans="1:4">
      <c r="A135" s="9">
        <v>45896</v>
      </c>
      <c r="B135" s="105"/>
      <c r="C135" s="107"/>
      <c r="D135" s="109"/>
    </row>
    <row r="136" spans="1:4">
      <c r="A136" s="9">
        <v>45877</v>
      </c>
      <c r="B136" s="51" t="s">
        <v>792</v>
      </c>
      <c r="C136" s="6" t="s">
        <v>793</v>
      </c>
      <c r="D136" s="43">
        <v>7080</v>
      </c>
    </row>
    <row r="137" spans="1:4">
      <c r="A137" s="9">
        <v>45882</v>
      </c>
      <c r="B137" s="51" t="s">
        <v>798</v>
      </c>
      <c r="C137" s="6" t="s">
        <v>799</v>
      </c>
      <c r="D137" s="43">
        <v>33600</v>
      </c>
    </row>
    <row r="138" spans="1:4">
      <c r="A138" s="9">
        <v>45875</v>
      </c>
      <c r="B138" s="104" t="s">
        <v>823</v>
      </c>
      <c r="C138" s="106" t="s">
        <v>824</v>
      </c>
      <c r="D138" s="108">
        <v>22215</v>
      </c>
    </row>
    <row r="139" spans="1:4">
      <c r="A139" s="9">
        <v>45875</v>
      </c>
      <c r="B139" s="110"/>
      <c r="C139" s="111"/>
      <c r="D139" s="112"/>
    </row>
    <row r="140" spans="1:4">
      <c r="A140" s="9">
        <v>45883</v>
      </c>
      <c r="B140" s="110"/>
      <c r="C140" s="111"/>
      <c r="D140" s="112"/>
    </row>
    <row r="141" spans="1:4">
      <c r="A141" s="9">
        <v>45888</v>
      </c>
      <c r="B141" s="110"/>
      <c r="C141" s="111"/>
      <c r="D141" s="112"/>
    </row>
    <row r="142" spans="1:4">
      <c r="A142" s="9">
        <v>45898</v>
      </c>
      <c r="B142" s="105"/>
      <c r="C142" s="107"/>
      <c r="D142" s="109"/>
    </row>
    <row r="143" spans="1:4">
      <c r="A143" s="9">
        <v>45870</v>
      </c>
      <c r="B143" s="51" t="s">
        <v>845</v>
      </c>
      <c r="C143" s="6" t="s">
        <v>846</v>
      </c>
      <c r="D143" s="43">
        <v>16210</v>
      </c>
    </row>
    <row r="144" spans="1:4">
      <c r="A144" s="9">
        <v>45898</v>
      </c>
      <c r="B144" s="51" t="s">
        <v>847</v>
      </c>
      <c r="C144" s="6" t="s">
        <v>848</v>
      </c>
      <c r="D144" s="43">
        <v>7905</v>
      </c>
    </row>
    <row r="145" spans="1:4">
      <c r="A145" s="9">
        <v>45873</v>
      </c>
      <c r="B145" s="104" t="s">
        <v>864</v>
      </c>
      <c r="C145" s="106" t="s">
        <v>865</v>
      </c>
      <c r="D145" s="108">
        <v>17332</v>
      </c>
    </row>
    <row r="146" spans="1:4">
      <c r="A146" s="9">
        <v>45874</v>
      </c>
      <c r="B146" s="105"/>
      <c r="C146" s="107"/>
      <c r="D146" s="109"/>
    </row>
    <row r="147" spans="1:4">
      <c r="A147" s="9">
        <v>45899</v>
      </c>
      <c r="B147" s="51" t="s">
        <v>872</v>
      </c>
      <c r="C147" s="6" t="s">
        <v>873</v>
      </c>
      <c r="D147" s="43">
        <v>500</v>
      </c>
    </row>
    <row r="148" spans="1:4">
      <c r="A148" s="9">
        <v>45876</v>
      </c>
      <c r="B148" s="51" t="s">
        <v>878</v>
      </c>
      <c r="C148" s="6" t="s">
        <v>879</v>
      </c>
      <c r="D148" s="43">
        <v>22440</v>
      </c>
    </row>
    <row r="149" spans="1:4">
      <c r="A149" s="9">
        <v>45874</v>
      </c>
      <c r="B149" s="51" t="s">
        <v>892</v>
      </c>
      <c r="C149" s="6" t="s">
        <v>893</v>
      </c>
      <c r="D149" s="43">
        <v>2310</v>
      </c>
    </row>
    <row r="150" spans="1:4">
      <c r="A150" s="9">
        <v>45892</v>
      </c>
      <c r="B150" s="51" t="s">
        <v>900</v>
      </c>
      <c r="C150" s="6" t="s">
        <v>901</v>
      </c>
      <c r="D150" s="43">
        <v>31045</v>
      </c>
    </row>
    <row r="151" spans="1:4">
      <c r="A151" s="9">
        <v>45889</v>
      </c>
      <c r="B151" s="51" t="s">
        <v>904</v>
      </c>
      <c r="C151" s="6" t="s">
        <v>905</v>
      </c>
      <c r="D151" s="43">
        <v>41250</v>
      </c>
    </row>
    <row r="152" spans="1:4">
      <c r="A152" s="9">
        <v>45888</v>
      </c>
      <c r="B152" s="51" t="s">
        <v>910</v>
      </c>
      <c r="C152" s="6" t="s">
        <v>911</v>
      </c>
      <c r="D152" s="43">
        <v>4800</v>
      </c>
    </row>
    <row r="153" spans="1:4">
      <c r="A153" s="10"/>
      <c r="B153" s="11" t="s">
        <v>918</v>
      </c>
      <c r="C153" s="6"/>
      <c r="D153" s="41">
        <f>SUM(D4:D152)</f>
        <v>3280920.05</v>
      </c>
    </row>
  </sheetData>
  <sortState xmlns:xlrd2="http://schemas.microsoft.com/office/spreadsheetml/2017/richdata2" ref="A4:C152">
    <sortCondition ref="B4:B152"/>
  </sortState>
  <mergeCells count="89">
    <mergeCell ref="A1:B1"/>
    <mergeCell ref="A2:B2"/>
    <mergeCell ref="B4:B5"/>
    <mergeCell ref="C4:C5"/>
    <mergeCell ref="D4:D5"/>
    <mergeCell ref="B7:B9"/>
    <mergeCell ref="C7:C9"/>
    <mergeCell ref="D7:D9"/>
    <mergeCell ref="B15:B16"/>
    <mergeCell ref="C15:C16"/>
    <mergeCell ref="D15:D16"/>
    <mergeCell ref="B17:B18"/>
    <mergeCell ref="C17:C18"/>
    <mergeCell ref="D17:D18"/>
    <mergeCell ref="B21:B25"/>
    <mergeCell ref="B26:B29"/>
    <mergeCell ref="C21:C25"/>
    <mergeCell ref="D21:D25"/>
    <mergeCell ref="C26:C29"/>
    <mergeCell ref="D26:D29"/>
    <mergeCell ref="B34:B36"/>
    <mergeCell ref="C34:C36"/>
    <mergeCell ref="D34:D36"/>
    <mergeCell ref="B38:B40"/>
    <mergeCell ref="C38:C40"/>
    <mergeCell ref="D38:D40"/>
    <mergeCell ref="B47:B49"/>
    <mergeCell ref="C47:C49"/>
    <mergeCell ref="D47:D49"/>
    <mergeCell ref="B50:B52"/>
    <mergeCell ref="C50:C52"/>
    <mergeCell ref="D50:D52"/>
    <mergeCell ref="B53:B55"/>
    <mergeCell ref="C53:C55"/>
    <mergeCell ref="D53:D55"/>
    <mergeCell ref="B56:B57"/>
    <mergeCell ref="C56:C57"/>
    <mergeCell ref="D56:D57"/>
    <mergeCell ref="B58:B60"/>
    <mergeCell ref="C58:C60"/>
    <mergeCell ref="D58:D60"/>
    <mergeCell ref="B61:B63"/>
    <mergeCell ref="C61:C63"/>
    <mergeCell ref="D61:D63"/>
    <mergeCell ref="B71:B72"/>
    <mergeCell ref="C71:C72"/>
    <mergeCell ref="D71:D72"/>
    <mergeCell ref="B76:B77"/>
    <mergeCell ref="C76:C77"/>
    <mergeCell ref="D76:D77"/>
    <mergeCell ref="B79:B80"/>
    <mergeCell ref="C79:C80"/>
    <mergeCell ref="D79:D80"/>
    <mergeCell ref="B83:B84"/>
    <mergeCell ref="C83:C84"/>
    <mergeCell ref="D83:D84"/>
    <mergeCell ref="B88:B90"/>
    <mergeCell ref="C88:C90"/>
    <mergeCell ref="D88:D90"/>
    <mergeCell ref="B97:B98"/>
    <mergeCell ref="C97:C98"/>
    <mergeCell ref="D97:D98"/>
    <mergeCell ref="B101:B102"/>
    <mergeCell ref="C101:C102"/>
    <mergeCell ref="D101:D102"/>
    <mergeCell ref="B106:B107"/>
    <mergeCell ref="C106:C107"/>
    <mergeCell ref="D106:D107"/>
    <mergeCell ref="B111:B113"/>
    <mergeCell ref="C111:C113"/>
    <mergeCell ref="D111:D113"/>
    <mergeCell ref="B116:B119"/>
    <mergeCell ref="C116:C119"/>
    <mergeCell ref="D116:D119"/>
    <mergeCell ref="B121:B122"/>
    <mergeCell ref="C121:C122"/>
    <mergeCell ref="D121:D122"/>
    <mergeCell ref="B126:B127"/>
    <mergeCell ref="C126:C127"/>
    <mergeCell ref="D126:D127"/>
    <mergeCell ref="B145:B146"/>
    <mergeCell ref="C145:C146"/>
    <mergeCell ref="D145:D146"/>
    <mergeCell ref="B134:B135"/>
    <mergeCell ref="C134:C135"/>
    <mergeCell ref="D134:D135"/>
    <mergeCell ref="B138:B142"/>
    <mergeCell ref="C138:C142"/>
    <mergeCell ref="D138:D14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C3DB-B51C-A143-A8C2-644002016E30}">
  <dimension ref="A1:D206"/>
  <sheetViews>
    <sheetView topLeftCell="A193" workbookViewId="0">
      <selection activeCell="B205" sqref="B205"/>
    </sheetView>
  </sheetViews>
  <sheetFormatPr defaultColWidth="8.85546875" defaultRowHeight="15"/>
  <cols>
    <col min="1" max="1" width="10.28515625" style="1" customWidth="1"/>
    <col min="2" max="2" width="53.7109375" style="1" customWidth="1"/>
    <col min="3" max="3" width="17.7109375" style="1" customWidth="1"/>
    <col min="4" max="4" width="12.28515625" style="1" customWidth="1"/>
    <col min="5" max="16384" width="8.85546875" style="1"/>
  </cols>
  <sheetData>
    <row r="1" spans="1:4" ht="15.75">
      <c r="A1" s="84" t="s">
        <v>912</v>
      </c>
      <c r="B1" s="84"/>
      <c r="C1" s="12"/>
      <c r="D1" s="24"/>
    </row>
    <row r="2" spans="1:4">
      <c r="A2" s="85" t="s">
        <v>927</v>
      </c>
      <c r="B2" s="85"/>
      <c r="C2" s="12"/>
      <c r="D2" s="24"/>
    </row>
    <row r="3" spans="1:4">
      <c r="A3" s="14" t="s">
        <v>914</v>
      </c>
      <c r="B3" s="15" t="s">
        <v>1</v>
      </c>
      <c r="C3" s="14" t="s">
        <v>2</v>
      </c>
      <c r="D3" s="24" t="s">
        <v>915</v>
      </c>
    </row>
    <row r="4" spans="1:4">
      <c r="A4" s="16">
        <v>45929</v>
      </c>
      <c r="B4" s="103" t="s">
        <v>37</v>
      </c>
      <c r="C4" s="85" t="s">
        <v>38</v>
      </c>
      <c r="D4" s="116">
        <v>14220</v>
      </c>
    </row>
    <row r="5" spans="1:4">
      <c r="A5" s="16">
        <v>45930</v>
      </c>
      <c r="B5" s="103"/>
      <c r="C5" s="85"/>
      <c r="D5" s="117"/>
    </row>
    <row r="6" spans="1:4">
      <c r="A6" s="16">
        <v>45904</v>
      </c>
      <c r="B6" s="50" t="s">
        <v>39</v>
      </c>
      <c r="C6" s="7" t="s">
        <v>40</v>
      </c>
      <c r="D6" s="23">
        <v>1810</v>
      </c>
    </row>
    <row r="7" spans="1:4">
      <c r="A7" s="16">
        <v>45919</v>
      </c>
      <c r="B7" s="50" t="s">
        <v>48</v>
      </c>
      <c r="C7" s="7" t="s">
        <v>49</v>
      </c>
      <c r="D7" s="23">
        <v>12000</v>
      </c>
    </row>
    <row r="8" spans="1:4">
      <c r="A8" s="16">
        <v>45902</v>
      </c>
      <c r="B8" s="97" t="s">
        <v>52</v>
      </c>
      <c r="C8" s="99"/>
      <c r="D8" s="116">
        <v>32149</v>
      </c>
    </row>
    <row r="9" spans="1:4">
      <c r="A9" s="16">
        <v>45904</v>
      </c>
      <c r="B9" s="101"/>
      <c r="C9" s="102"/>
      <c r="D9" s="118"/>
    </row>
    <row r="10" spans="1:4">
      <c r="A10" s="16">
        <v>45908</v>
      </c>
      <c r="B10" s="101"/>
      <c r="C10" s="102"/>
      <c r="D10" s="118"/>
    </row>
    <row r="11" spans="1:4">
      <c r="A11" s="16">
        <v>45920</v>
      </c>
      <c r="B11" s="101"/>
      <c r="C11" s="102"/>
      <c r="D11" s="118"/>
    </row>
    <row r="12" spans="1:4">
      <c r="A12" s="16">
        <v>45926</v>
      </c>
      <c r="B12" s="98"/>
      <c r="C12" s="100"/>
      <c r="D12" s="117"/>
    </row>
    <row r="13" spans="1:4">
      <c r="A13" s="16">
        <v>45927</v>
      </c>
      <c r="B13" s="50" t="s">
        <v>53</v>
      </c>
      <c r="C13" s="7" t="s">
        <v>54</v>
      </c>
      <c r="D13" s="23">
        <v>64185</v>
      </c>
    </row>
    <row r="14" spans="1:4">
      <c r="A14" s="16">
        <v>45918</v>
      </c>
      <c r="B14" s="97" t="s">
        <v>62</v>
      </c>
      <c r="C14" s="99"/>
      <c r="D14" s="116">
        <v>2513.3199999999997</v>
      </c>
    </row>
    <row r="15" spans="1:4">
      <c r="A15" s="16">
        <v>45920</v>
      </c>
      <c r="B15" s="98"/>
      <c r="C15" s="100"/>
      <c r="D15" s="117"/>
    </row>
    <row r="16" spans="1:4">
      <c r="A16" s="16">
        <v>45912</v>
      </c>
      <c r="B16" s="50" t="s">
        <v>67</v>
      </c>
      <c r="C16" s="7" t="s">
        <v>68</v>
      </c>
      <c r="D16" s="23">
        <v>20800</v>
      </c>
    </row>
    <row r="17" spans="1:4">
      <c r="A17" s="16">
        <v>45906</v>
      </c>
      <c r="B17" s="50" t="s">
        <v>76</v>
      </c>
      <c r="C17" s="7" t="s">
        <v>77</v>
      </c>
      <c r="D17" s="23">
        <v>15780</v>
      </c>
    </row>
    <row r="18" spans="1:4">
      <c r="A18" s="16">
        <v>45922</v>
      </c>
      <c r="B18" s="50" t="s">
        <v>88</v>
      </c>
      <c r="C18" s="7" t="s">
        <v>89</v>
      </c>
      <c r="D18" s="23">
        <v>9300</v>
      </c>
    </row>
    <row r="19" spans="1:4">
      <c r="A19" s="16">
        <v>45902</v>
      </c>
      <c r="B19" s="97" t="s">
        <v>93</v>
      </c>
      <c r="C19" s="99" t="s">
        <v>94</v>
      </c>
      <c r="D19" s="116">
        <v>270470</v>
      </c>
    </row>
    <row r="20" spans="1:4">
      <c r="A20" s="16">
        <v>45904</v>
      </c>
      <c r="B20" s="101"/>
      <c r="C20" s="102"/>
      <c r="D20" s="118"/>
    </row>
    <row r="21" spans="1:4">
      <c r="A21" s="16">
        <v>45904</v>
      </c>
      <c r="B21" s="101"/>
      <c r="C21" s="102"/>
      <c r="D21" s="118"/>
    </row>
    <row r="22" spans="1:4">
      <c r="A22" s="16">
        <v>45905</v>
      </c>
      <c r="B22" s="101"/>
      <c r="C22" s="102"/>
      <c r="D22" s="118"/>
    </row>
    <row r="23" spans="1:4">
      <c r="A23" s="16">
        <v>45906</v>
      </c>
      <c r="B23" s="101"/>
      <c r="C23" s="102"/>
      <c r="D23" s="118"/>
    </row>
    <row r="24" spans="1:4">
      <c r="A24" s="16">
        <v>45910</v>
      </c>
      <c r="B24" s="98"/>
      <c r="C24" s="100"/>
      <c r="D24" s="117"/>
    </row>
    <row r="25" spans="1:4">
      <c r="A25" s="16">
        <v>45918</v>
      </c>
      <c r="B25" s="50" t="s">
        <v>101</v>
      </c>
      <c r="C25" s="7"/>
      <c r="D25" s="23">
        <v>2925</v>
      </c>
    </row>
    <row r="26" spans="1:4">
      <c r="A26" s="16">
        <v>45904</v>
      </c>
      <c r="B26" s="97" t="s">
        <v>108</v>
      </c>
      <c r="C26" s="99" t="s">
        <v>109</v>
      </c>
      <c r="D26" s="116">
        <v>416070</v>
      </c>
    </row>
    <row r="27" spans="1:4">
      <c r="A27" s="16">
        <v>45905</v>
      </c>
      <c r="B27" s="101"/>
      <c r="C27" s="102"/>
      <c r="D27" s="118"/>
    </row>
    <row r="28" spans="1:4">
      <c r="A28" s="16">
        <v>45910</v>
      </c>
      <c r="B28" s="101"/>
      <c r="C28" s="102"/>
      <c r="D28" s="118"/>
    </row>
    <row r="29" spans="1:4">
      <c r="A29" s="16">
        <v>45919</v>
      </c>
      <c r="B29" s="101"/>
      <c r="C29" s="102"/>
      <c r="D29" s="118"/>
    </row>
    <row r="30" spans="1:4">
      <c r="A30" s="16">
        <v>45923</v>
      </c>
      <c r="B30" s="101"/>
      <c r="C30" s="102"/>
      <c r="D30" s="118"/>
    </row>
    <row r="31" spans="1:4">
      <c r="A31" s="16">
        <v>45926</v>
      </c>
      <c r="B31" s="98"/>
      <c r="C31" s="100"/>
      <c r="D31" s="117"/>
    </row>
    <row r="32" spans="1:4">
      <c r="A32" s="16">
        <v>45902</v>
      </c>
      <c r="B32" s="97" t="s">
        <v>110</v>
      </c>
      <c r="C32" s="99" t="s">
        <v>111</v>
      </c>
      <c r="D32" s="116">
        <v>101830</v>
      </c>
    </row>
    <row r="33" spans="1:4">
      <c r="A33" s="16">
        <v>45926</v>
      </c>
      <c r="B33" s="101"/>
      <c r="C33" s="102"/>
      <c r="D33" s="118"/>
    </row>
    <row r="34" spans="1:4">
      <c r="A34" s="16">
        <v>45927</v>
      </c>
      <c r="B34" s="98"/>
      <c r="C34" s="100"/>
      <c r="D34" s="117"/>
    </row>
    <row r="35" spans="1:4">
      <c r="A35" s="16">
        <v>45912</v>
      </c>
      <c r="B35" s="50" t="s">
        <v>128</v>
      </c>
      <c r="C35" s="7" t="s">
        <v>129</v>
      </c>
      <c r="D35" s="23">
        <v>720</v>
      </c>
    </row>
    <row r="36" spans="1:4">
      <c r="A36" s="16">
        <v>45924</v>
      </c>
      <c r="B36" s="50" t="s">
        <v>130</v>
      </c>
      <c r="C36" s="7" t="s">
        <v>131</v>
      </c>
      <c r="D36" s="23">
        <v>2660</v>
      </c>
    </row>
    <row r="37" spans="1:4">
      <c r="A37" s="16">
        <v>45902</v>
      </c>
      <c r="B37" s="97" t="s">
        <v>136</v>
      </c>
      <c r="C37" s="99" t="s">
        <v>137</v>
      </c>
      <c r="D37" s="116">
        <v>79110</v>
      </c>
    </row>
    <row r="38" spans="1:4">
      <c r="A38" s="16">
        <v>45923</v>
      </c>
      <c r="B38" s="101"/>
      <c r="C38" s="102"/>
      <c r="D38" s="118"/>
    </row>
    <row r="39" spans="1:4">
      <c r="A39" s="16">
        <v>45925</v>
      </c>
      <c r="B39" s="101"/>
      <c r="C39" s="102"/>
      <c r="D39" s="118"/>
    </row>
    <row r="40" spans="1:4">
      <c r="A40" s="16">
        <v>45927</v>
      </c>
      <c r="B40" s="98"/>
      <c r="C40" s="100"/>
      <c r="D40" s="117"/>
    </row>
    <row r="41" spans="1:4">
      <c r="A41" s="16">
        <v>45903</v>
      </c>
      <c r="B41" s="50" t="s">
        <v>145</v>
      </c>
      <c r="C41" s="7" t="s">
        <v>146</v>
      </c>
      <c r="D41" s="23">
        <v>80400</v>
      </c>
    </row>
    <row r="42" spans="1:4">
      <c r="A42" s="16">
        <v>45906</v>
      </c>
      <c r="B42" s="97" t="s">
        <v>147</v>
      </c>
      <c r="C42" s="99" t="s">
        <v>148</v>
      </c>
      <c r="D42" s="116">
        <v>21099</v>
      </c>
    </row>
    <row r="43" spans="1:4">
      <c r="A43" s="16">
        <v>45920</v>
      </c>
      <c r="B43" s="101"/>
      <c r="C43" s="102"/>
      <c r="D43" s="118"/>
    </row>
    <row r="44" spans="1:4">
      <c r="A44" s="16">
        <v>45930</v>
      </c>
      <c r="B44" s="98"/>
      <c r="C44" s="100"/>
      <c r="D44" s="117"/>
    </row>
    <row r="45" spans="1:4">
      <c r="A45" s="16">
        <v>45923</v>
      </c>
      <c r="B45" s="50" t="s">
        <v>149</v>
      </c>
      <c r="C45" s="7" t="s">
        <v>150</v>
      </c>
      <c r="D45" s="23">
        <v>27085</v>
      </c>
    </row>
    <row r="46" spans="1:4">
      <c r="A46" s="16">
        <v>45909</v>
      </c>
      <c r="B46" s="97" t="s">
        <v>160</v>
      </c>
      <c r="C46" s="99" t="s">
        <v>161</v>
      </c>
      <c r="D46" s="116">
        <v>115900</v>
      </c>
    </row>
    <row r="47" spans="1:4">
      <c r="A47" s="16">
        <v>45926</v>
      </c>
      <c r="B47" s="98"/>
      <c r="C47" s="100"/>
      <c r="D47" s="117"/>
    </row>
    <row r="48" spans="1:4">
      <c r="A48" s="16">
        <v>45910</v>
      </c>
      <c r="B48" s="97" t="s">
        <v>167</v>
      </c>
      <c r="C48" s="99"/>
      <c r="D48" s="116">
        <v>18000</v>
      </c>
    </row>
    <row r="49" spans="1:4">
      <c r="A49" s="16">
        <v>45911</v>
      </c>
      <c r="B49" s="98"/>
      <c r="C49" s="100"/>
      <c r="D49" s="117"/>
    </row>
    <row r="50" spans="1:4">
      <c r="A50" s="16">
        <v>45908</v>
      </c>
      <c r="B50" s="50" t="s">
        <v>183</v>
      </c>
      <c r="C50" s="7"/>
      <c r="D50" s="23">
        <v>9750</v>
      </c>
    </row>
    <row r="51" spans="1:4">
      <c r="A51" s="16">
        <v>45908</v>
      </c>
      <c r="B51" s="97" t="s">
        <v>186</v>
      </c>
      <c r="C51" s="99"/>
      <c r="D51" s="116">
        <v>149480</v>
      </c>
    </row>
    <row r="52" spans="1:4">
      <c r="A52" s="16">
        <v>45920</v>
      </c>
      <c r="B52" s="101"/>
      <c r="C52" s="102"/>
      <c r="D52" s="118"/>
    </row>
    <row r="53" spans="1:4">
      <c r="A53" s="16">
        <v>45927</v>
      </c>
      <c r="B53" s="98"/>
      <c r="C53" s="100"/>
      <c r="D53" s="117"/>
    </row>
    <row r="54" spans="1:4">
      <c r="A54" s="16">
        <v>45912</v>
      </c>
      <c r="B54" s="50" t="s">
        <v>187</v>
      </c>
      <c r="C54" s="7" t="s">
        <v>188</v>
      </c>
      <c r="D54" s="23">
        <v>12600</v>
      </c>
    </row>
    <row r="55" spans="1:4">
      <c r="A55" s="16">
        <v>45913</v>
      </c>
      <c r="B55" s="50" t="s">
        <v>189</v>
      </c>
      <c r="C55" s="7" t="s">
        <v>190</v>
      </c>
      <c r="D55" s="23">
        <v>49000</v>
      </c>
    </row>
    <row r="56" spans="1:4">
      <c r="A56" s="16">
        <v>45925</v>
      </c>
      <c r="B56" s="50" t="s">
        <v>204</v>
      </c>
      <c r="C56" s="7" t="s">
        <v>205</v>
      </c>
      <c r="D56" s="23">
        <v>9375</v>
      </c>
    </row>
    <row r="57" spans="1:4">
      <c r="A57" s="16">
        <v>45926</v>
      </c>
      <c r="B57" s="50" t="s">
        <v>206</v>
      </c>
      <c r="C57" s="7" t="s">
        <v>207</v>
      </c>
      <c r="D57" s="23">
        <v>12000</v>
      </c>
    </row>
    <row r="58" spans="1:4">
      <c r="A58" s="16">
        <v>45915</v>
      </c>
      <c r="B58" s="50" t="s">
        <v>215</v>
      </c>
      <c r="C58" s="7" t="s">
        <v>216</v>
      </c>
      <c r="D58" s="23">
        <v>3040</v>
      </c>
    </row>
    <row r="59" spans="1:4">
      <c r="A59" s="16">
        <v>45923</v>
      </c>
      <c r="B59" s="50" t="s">
        <v>224</v>
      </c>
      <c r="C59" s="7"/>
      <c r="D59" s="23">
        <v>9900</v>
      </c>
    </row>
    <row r="60" spans="1:4">
      <c r="A60" s="16">
        <v>45922</v>
      </c>
      <c r="B60" s="50" t="s">
        <v>231</v>
      </c>
      <c r="C60" s="7"/>
      <c r="D60" s="23">
        <v>5850</v>
      </c>
    </row>
    <row r="61" spans="1:4">
      <c r="A61" s="16">
        <v>45904</v>
      </c>
      <c r="B61" s="50" t="s">
        <v>232</v>
      </c>
      <c r="C61" s="7" t="s">
        <v>233</v>
      </c>
      <c r="D61" s="23">
        <v>905</v>
      </c>
    </row>
    <row r="62" spans="1:4">
      <c r="A62" s="16">
        <v>45913</v>
      </c>
      <c r="B62" s="50" t="s">
        <v>238</v>
      </c>
      <c r="C62" s="7" t="s">
        <v>239</v>
      </c>
      <c r="D62" s="23">
        <v>1000</v>
      </c>
    </row>
    <row r="63" spans="1:4">
      <c r="A63" s="16">
        <v>45904</v>
      </c>
      <c r="B63" s="97" t="s">
        <v>240</v>
      </c>
      <c r="C63" s="99"/>
      <c r="D63" s="116">
        <v>23660</v>
      </c>
    </row>
    <row r="64" spans="1:4">
      <c r="A64" s="16">
        <v>45908</v>
      </c>
      <c r="B64" s="98"/>
      <c r="C64" s="100"/>
      <c r="D64" s="117"/>
    </row>
    <row r="65" spans="1:4">
      <c r="A65" s="16">
        <v>45920</v>
      </c>
      <c r="B65" s="50" t="s">
        <v>243</v>
      </c>
      <c r="C65" s="7" t="s">
        <v>244</v>
      </c>
      <c r="D65" s="23">
        <v>6750</v>
      </c>
    </row>
    <row r="66" spans="1:4">
      <c r="A66" s="16">
        <v>45924</v>
      </c>
      <c r="B66" s="50" t="s">
        <v>248</v>
      </c>
      <c r="C66" s="7" t="s">
        <v>249</v>
      </c>
      <c r="D66" s="23">
        <v>34050</v>
      </c>
    </row>
    <row r="67" spans="1:4">
      <c r="A67" s="16">
        <v>45904</v>
      </c>
      <c r="B67" s="50" t="s">
        <v>253</v>
      </c>
      <c r="C67" s="7" t="s">
        <v>254</v>
      </c>
      <c r="D67" s="23">
        <v>905</v>
      </c>
    </row>
    <row r="68" spans="1:4">
      <c r="A68" s="16">
        <v>45918</v>
      </c>
      <c r="B68" s="97" t="s">
        <v>268</v>
      </c>
      <c r="C68" s="99"/>
      <c r="D68" s="116">
        <v>2042.3400000000001</v>
      </c>
    </row>
    <row r="69" spans="1:4">
      <c r="A69" s="16">
        <v>45920</v>
      </c>
      <c r="B69" s="98"/>
      <c r="C69" s="100"/>
      <c r="D69" s="117"/>
    </row>
    <row r="70" spans="1:4">
      <c r="A70" s="16">
        <v>45906</v>
      </c>
      <c r="B70" s="97" t="s">
        <v>273</v>
      </c>
      <c r="C70" s="99" t="s">
        <v>274</v>
      </c>
      <c r="D70" s="116">
        <v>143150</v>
      </c>
    </row>
    <row r="71" spans="1:4">
      <c r="A71" s="16">
        <v>45920</v>
      </c>
      <c r="B71" s="101"/>
      <c r="C71" s="102"/>
      <c r="D71" s="118"/>
    </row>
    <row r="72" spans="1:4">
      <c r="A72" s="16">
        <v>45923</v>
      </c>
      <c r="B72" s="101"/>
      <c r="C72" s="102"/>
      <c r="D72" s="118"/>
    </row>
    <row r="73" spans="1:4">
      <c r="A73" s="16">
        <v>45925</v>
      </c>
      <c r="B73" s="98"/>
      <c r="C73" s="100"/>
      <c r="D73" s="117"/>
    </row>
    <row r="74" spans="1:4">
      <c r="A74" s="16">
        <v>45917</v>
      </c>
      <c r="B74" s="97" t="s">
        <v>288</v>
      </c>
      <c r="C74" s="99" t="s">
        <v>289</v>
      </c>
      <c r="D74" s="116">
        <v>37715</v>
      </c>
    </row>
    <row r="75" spans="1:4">
      <c r="A75" s="16">
        <v>45923</v>
      </c>
      <c r="B75" s="98"/>
      <c r="C75" s="100"/>
      <c r="D75" s="117"/>
    </row>
    <row r="76" spans="1:4">
      <c r="A76" s="16">
        <v>45902</v>
      </c>
      <c r="B76" s="50" t="s">
        <v>309</v>
      </c>
      <c r="C76" s="7" t="s">
        <v>310</v>
      </c>
      <c r="D76" s="23">
        <v>55000</v>
      </c>
    </row>
    <row r="77" spans="1:4">
      <c r="A77" s="16">
        <v>45930</v>
      </c>
      <c r="B77" s="50" t="s">
        <v>315</v>
      </c>
      <c r="C77" s="7"/>
      <c r="D77" s="23">
        <v>10200</v>
      </c>
    </row>
    <row r="78" spans="1:4">
      <c r="A78" s="16">
        <v>45906</v>
      </c>
      <c r="B78" s="50" t="s">
        <v>319</v>
      </c>
      <c r="C78" s="7" t="s">
        <v>320</v>
      </c>
      <c r="D78" s="23">
        <v>3150</v>
      </c>
    </row>
    <row r="79" spans="1:4">
      <c r="A79" s="16">
        <v>45903</v>
      </c>
      <c r="B79" s="50" t="s">
        <v>328</v>
      </c>
      <c r="C79" s="7" t="s">
        <v>329</v>
      </c>
      <c r="D79" s="23">
        <v>19500</v>
      </c>
    </row>
    <row r="80" spans="1:4">
      <c r="A80" s="16">
        <v>45904</v>
      </c>
      <c r="B80" s="50" t="s">
        <v>336</v>
      </c>
      <c r="C80" s="7" t="s">
        <v>337</v>
      </c>
      <c r="D80" s="23">
        <v>17220</v>
      </c>
    </row>
    <row r="81" spans="1:4" ht="22.5">
      <c r="A81" s="16">
        <v>45904</v>
      </c>
      <c r="B81" s="29" t="s">
        <v>928</v>
      </c>
      <c r="C81" s="7" t="s">
        <v>347</v>
      </c>
      <c r="D81" s="23">
        <v>905</v>
      </c>
    </row>
    <row r="82" spans="1:4">
      <c r="A82" s="16">
        <v>45912</v>
      </c>
      <c r="B82" s="50" t="s">
        <v>348</v>
      </c>
      <c r="C82" s="7" t="s">
        <v>349</v>
      </c>
      <c r="D82" s="23">
        <v>14400</v>
      </c>
    </row>
    <row r="83" spans="1:4">
      <c r="A83" s="16">
        <v>45904</v>
      </c>
      <c r="B83" s="97" t="s">
        <v>350</v>
      </c>
      <c r="C83" s="99" t="s">
        <v>347</v>
      </c>
      <c r="D83" s="116">
        <v>15425</v>
      </c>
    </row>
    <row r="84" spans="1:4">
      <c r="A84" s="16">
        <v>45905</v>
      </c>
      <c r="B84" s="101"/>
      <c r="C84" s="102"/>
      <c r="D84" s="118"/>
    </row>
    <row r="85" spans="1:4">
      <c r="A85" s="16">
        <v>45915</v>
      </c>
      <c r="B85" s="98"/>
      <c r="C85" s="100"/>
      <c r="D85" s="117"/>
    </row>
    <row r="86" spans="1:4">
      <c r="A86" s="16">
        <v>45904</v>
      </c>
      <c r="B86" s="97" t="s">
        <v>351</v>
      </c>
      <c r="C86" s="99" t="s">
        <v>352</v>
      </c>
      <c r="D86" s="116">
        <v>79380</v>
      </c>
    </row>
    <row r="87" spans="1:4">
      <c r="A87" s="16">
        <v>45905</v>
      </c>
      <c r="B87" s="101"/>
      <c r="C87" s="102"/>
      <c r="D87" s="118"/>
    </row>
    <row r="88" spans="1:4">
      <c r="A88" s="16">
        <v>45917</v>
      </c>
      <c r="B88" s="101"/>
      <c r="C88" s="102"/>
      <c r="D88" s="118"/>
    </row>
    <row r="89" spans="1:4">
      <c r="A89" s="16">
        <v>45926</v>
      </c>
      <c r="B89" s="98"/>
      <c r="C89" s="100"/>
      <c r="D89" s="117"/>
    </row>
    <row r="90" spans="1:4">
      <c r="A90" s="16">
        <v>45904</v>
      </c>
      <c r="B90" s="97" t="s">
        <v>353</v>
      </c>
      <c r="C90" s="99" t="s">
        <v>354</v>
      </c>
      <c r="D90" s="116">
        <v>50375</v>
      </c>
    </row>
    <row r="91" spans="1:4">
      <c r="A91" s="16">
        <v>45904</v>
      </c>
      <c r="B91" s="101"/>
      <c r="C91" s="102"/>
      <c r="D91" s="118"/>
    </row>
    <row r="92" spans="1:4">
      <c r="A92" s="16">
        <v>45909</v>
      </c>
      <c r="B92" s="101"/>
      <c r="C92" s="102"/>
      <c r="D92" s="118"/>
    </row>
    <row r="93" spans="1:4">
      <c r="A93" s="16">
        <v>45910</v>
      </c>
      <c r="B93" s="101"/>
      <c r="C93" s="102"/>
      <c r="D93" s="118"/>
    </row>
    <row r="94" spans="1:4">
      <c r="A94" s="16">
        <v>45913</v>
      </c>
      <c r="B94" s="101"/>
      <c r="C94" s="102"/>
      <c r="D94" s="118"/>
    </row>
    <row r="95" spans="1:4">
      <c r="A95" s="16">
        <v>45918</v>
      </c>
      <c r="B95" s="101"/>
      <c r="C95" s="102"/>
      <c r="D95" s="118"/>
    </row>
    <row r="96" spans="1:4">
      <c r="A96" s="16">
        <v>45920</v>
      </c>
      <c r="B96" s="98"/>
      <c r="C96" s="100"/>
      <c r="D96" s="117"/>
    </row>
    <row r="97" spans="1:4">
      <c r="A97" s="16">
        <v>45903</v>
      </c>
      <c r="B97" s="97" t="s">
        <v>357</v>
      </c>
      <c r="C97" s="99" t="s">
        <v>358</v>
      </c>
      <c r="D97" s="116">
        <v>47584</v>
      </c>
    </row>
    <row r="98" spans="1:4">
      <c r="A98" s="16">
        <v>45927</v>
      </c>
      <c r="B98" s="101"/>
      <c r="C98" s="102"/>
      <c r="D98" s="118"/>
    </row>
    <row r="99" spans="1:4">
      <c r="A99" s="16">
        <v>45927</v>
      </c>
      <c r="B99" s="98"/>
      <c r="C99" s="100"/>
      <c r="D99" s="117"/>
    </row>
    <row r="100" spans="1:4">
      <c r="A100" s="16">
        <v>45916</v>
      </c>
      <c r="B100" s="50" t="s">
        <v>367</v>
      </c>
      <c r="C100" s="7"/>
      <c r="D100" s="23">
        <v>14585</v>
      </c>
    </row>
    <row r="101" spans="1:4">
      <c r="A101" s="16">
        <v>45930</v>
      </c>
      <c r="B101" s="50" t="s">
        <v>376</v>
      </c>
      <c r="C101" s="7" t="s">
        <v>377</v>
      </c>
      <c r="D101" s="23">
        <v>8400</v>
      </c>
    </row>
    <row r="102" spans="1:4">
      <c r="A102" s="16">
        <v>45906</v>
      </c>
      <c r="B102" s="97" t="s">
        <v>398</v>
      </c>
      <c r="C102" s="99" t="s">
        <v>399</v>
      </c>
      <c r="D102" s="116">
        <v>169170</v>
      </c>
    </row>
    <row r="103" spans="1:4">
      <c r="A103" s="16">
        <v>45909</v>
      </c>
      <c r="B103" s="101"/>
      <c r="C103" s="102"/>
      <c r="D103" s="118"/>
    </row>
    <row r="104" spans="1:4">
      <c r="A104" s="16">
        <v>45910</v>
      </c>
      <c r="B104" s="98"/>
      <c r="C104" s="100"/>
      <c r="D104" s="117"/>
    </row>
    <row r="105" spans="1:4">
      <c r="A105" s="16">
        <v>45922</v>
      </c>
      <c r="B105" s="50" t="s">
        <v>404</v>
      </c>
      <c r="C105" s="7" t="s">
        <v>405</v>
      </c>
      <c r="D105" s="23">
        <v>3120</v>
      </c>
    </row>
    <row r="106" spans="1:4">
      <c r="A106" s="16">
        <v>45902</v>
      </c>
      <c r="B106" s="50" t="s">
        <v>414</v>
      </c>
      <c r="C106" s="7" t="s">
        <v>415</v>
      </c>
      <c r="D106" s="23">
        <v>1648</v>
      </c>
    </row>
    <row r="107" spans="1:4">
      <c r="A107" s="16">
        <v>45903</v>
      </c>
      <c r="B107" s="97" t="s">
        <v>424</v>
      </c>
      <c r="C107" s="99" t="s">
        <v>425</v>
      </c>
      <c r="D107" s="116">
        <v>125947</v>
      </c>
    </row>
    <row r="108" spans="1:4">
      <c r="A108" s="16">
        <v>45909</v>
      </c>
      <c r="B108" s="101"/>
      <c r="C108" s="102"/>
      <c r="D108" s="118"/>
    </row>
    <row r="109" spans="1:4">
      <c r="A109" s="16">
        <v>45930</v>
      </c>
      <c r="B109" s="98"/>
      <c r="C109" s="100"/>
      <c r="D109" s="117"/>
    </row>
    <row r="110" spans="1:4">
      <c r="A110" s="16">
        <v>45906</v>
      </c>
      <c r="B110" s="50" t="s">
        <v>426</v>
      </c>
      <c r="C110" s="7"/>
      <c r="D110" s="23">
        <v>31200</v>
      </c>
    </row>
    <row r="111" spans="1:4">
      <c r="A111" s="16">
        <v>45905</v>
      </c>
      <c r="B111" s="97" t="s">
        <v>427</v>
      </c>
      <c r="C111" s="99" t="s">
        <v>428</v>
      </c>
      <c r="D111" s="116">
        <v>106000</v>
      </c>
    </row>
    <row r="112" spans="1:4">
      <c r="A112" s="16">
        <v>45917</v>
      </c>
      <c r="B112" s="98"/>
      <c r="C112" s="100"/>
      <c r="D112" s="117"/>
    </row>
    <row r="113" spans="1:4">
      <c r="A113" s="16">
        <v>45903</v>
      </c>
      <c r="B113" s="50" t="s">
        <v>436</v>
      </c>
      <c r="C113" s="7" t="s">
        <v>437</v>
      </c>
      <c r="D113" s="23">
        <v>2745</v>
      </c>
    </row>
    <row r="114" spans="1:4">
      <c r="A114" s="16">
        <v>45925</v>
      </c>
      <c r="B114" s="50" t="s">
        <v>438</v>
      </c>
      <c r="C114" s="7" t="s">
        <v>439</v>
      </c>
      <c r="D114" s="23">
        <v>11303</v>
      </c>
    </row>
    <row r="115" spans="1:4">
      <c r="A115" s="16">
        <v>45904</v>
      </c>
      <c r="B115" s="50" t="s">
        <v>440</v>
      </c>
      <c r="C115" s="7" t="s">
        <v>441</v>
      </c>
      <c r="D115" s="23">
        <v>8840</v>
      </c>
    </row>
    <row r="116" spans="1:4">
      <c r="A116" s="16">
        <v>45901</v>
      </c>
      <c r="B116" s="50" t="s">
        <v>442</v>
      </c>
      <c r="C116" s="7" t="s">
        <v>443</v>
      </c>
      <c r="D116" s="23">
        <v>80000</v>
      </c>
    </row>
    <row r="117" spans="1:4">
      <c r="A117" s="16">
        <v>45904</v>
      </c>
      <c r="B117" s="50" t="s">
        <v>446</v>
      </c>
      <c r="C117" s="7" t="s">
        <v>447</v>
      </c>
      <c r="D117" s="23">
        <v>13000</v>
      </c>
    </row>
    <row r="118" spans="1:4">
      <c r="A118" s="16">
        <v>45911</v>
      </c>
      <c r="B118" s="97" t="s">
        <v>464</v>
      </c>
      <c r="C118" s="99" t="s">
        <v>465</v>
      </c>
      <c r="D118" s="116">
        <v>10705</v>
      </c>
    </row>
    <row r="119" spans="1:4">
      <c r="A119" s="16">
        <v>45923</v>
      </c>
      <c r="B119" s="101"/>
      <c r="C119" s="102"/>
      <c r="D119" s="118"/>
    </row>
    <row r="120" spans="1:4">
      <c r="A120" s="16">
        <v>45930</v>
      </c>
      <c r="B120" s="98"/>
      <c r="C120" s="100"/>
      <c r="D120" s="117"/>
    </row>
    <row r="121" spans="1:4">
      <c r="A121" s="16">
        <v>45916</v>
      </c>
      <c r="B121" s="50" t="s">
        <v>474</v>
      </c>
      <c r="C121" s="7" t="s">
        <v>475</v>
      </c>
      <c r="D121" s="23">
        <v>39000</v>
      </c>
    </row>
    <row r="122" spans="1:4">
      <c r="A122" s="16">
        <v>45927</v>
      </c>
      <c r="B122" s="50" t="s">
        <v>483</v>
      </c>
      <c r="C122" s="7" t="s">
        <v>484</v>
      </c>
      <c r="D122" s="23">
        <v>119250</v>
      </c>
    </row>
    <row r="123" spans="1:4">
      <c r="A123" s="16">
        <v>45913</v>
      </c>
      <c r="B123" s="97" t="s">
        <v>503</v>
      </c>
      <c r="C123" s="99" t="s">
        <v>504</v>
      </c>
      <c r="D123" s="116">
        <v>179140</v>
      </c>
    </row>
    <row r="124" spans="1:4">
      <c r="A124" s="16">
        <v>45917</v>
      </c>
      <c r="B124" s="98"/>
      <c r="C124" s="100"/>
      <c r="D124" s="117"/>
    </row>
    <row r="125" spans="1:4">
      <c r="A125" s="16">
        <v>45915</v>
      </c>
      <c r="B125" s="50" t="s">
        <v>510</v>
      </c>
      <c r="C125" s="7" t="s">
        <v>511</v>
      </c>
      <c r="D125" s="23">
        <v>3351.6</v>
      </c>
    </row>
    <row r="126" spans="1:4">
      <c r="A126" s="16">
        <v>45902</v>
      </c>
      <c r="B126" s="50" t="s">
        <v>521</v>
      </c>
      <c r="C126" s="7" t="s">
        <v>522</v>
      </c>
      <c r="D126" s="23">
        <v>8500</v>
      </c>
    </row>
    <row r="127" spans="1:4">
      <c r="A127" s="16">
        <v>45901</v>
      </c>
      <c r="B127" s="50" t="s">
        <v>524</v>
      </c>
      <c r="C127" s="7" t="s">
        <v>525</v>
      </c>
      <c r="D127" s="23">
        <v>27800</v>
      </c>
    </row>
    <row r="128" spans="1:4">
      <c r="A128" s="16">
        <v>45915</v>
      </c>
      <c r="B128" s="50" t="s">
        <v>526</v>
      </c>
      <c r="C128" s="7" t="s">
        <v>527</v>
      </c>
      <c r="D128" s="23">
        <v>19000</v>
      </c>
    </row>
    <row r="129" spans="1:4">
      <c r="A129" s="16">
        <v>45901</v>
      </c>
      <c r="B129" s="50" t="s">
        <v>528</v>
      </c>
      <c r="C129" s="7" t="s">
        <v>529</v>
      </c>
      <c r="D129" s="23">
        <v>28440</v>
      </c>
    </row>
    <row r="130" spans="1:4">
      <c r="A130" s="16">
        <v>45904</v>
      </c>
      <c r="B130" s="50" t="s">
        <v>532</v>
      </c>
      <c r="C130" s="7" t="s">
        <v>533</v>
      </c>
      <c r="D130" s="23">
        <v>9450</v>
      </c>
    </row>
    <row r="131" spans="1:4">
      <c r="A131" s="16">
        <v>45920</v>
      </c>
      <c r="B131" s="50" t="s">
        <v>538</v>
      </c>
      <c r="C131" s="7" t="s">
        <v>539</v>
      </c>
      <c r="D131" s="23">
        <v>975</v>
      </c>
    </row>
    <row r="132" spans="1:4">
      <c r="A132" s="16">
        <v>45908</v>
      </c>
      <c r="B132" s="50" t="s">
        <v>540</v>
      </c>
      <c r="C132" s="7" t="s">
        <v>541</v>
      </c>
      <c r="D132" s="23">
        <v>3400</v>
      </c>
    </row>
    <row r="133" spans="1:4">
      <c r="A133" s="16">
        <v>45908</v>
      </c>
      <c r="B133" s="97" t="s">
        <v>545</v>
      </c>
      <c r="C133" s="99" t="s">
        <v>546</v>
      </c>
      <c r="D133" s="116">
        <v>11600</v>
      </c>
    </row>
    <row r="134" spans="1:4">
      <c r="A134" s="16">
        <v>45930</v>
      </c>
      <c r="B134" s="98"/>
      <c r="C134" s="100"/>
      <c r="D134" s="117"/>
    </row>
    <row r="135" spans="1:4">
      <c r="A135" s="16">
        <v>45901</v>
      </c>
      <c r="B135" s="97" t="s">
        <v>552</v>
      </c>
      <c r="C135" s="99" t="s">
        <v>553</v>
      </c>
      <c r="D135" s="116">
        <v>77200</v>
      </c>
    </row>
    <row r="136" spans="1:4">
      <c r="A136" s="16">
        <v>45915</v>
      </c>
      <c r="B136" s="101"/>
      <c r="C136" s="102"/>
      <c r="D136" s="118"/>
    </row>
    <row r="137" spans="1:4">
      <c r="A137" s="16">
        <v>45916</v>
      </c>
      <c r="B137" s="98"/>
      <c r="C137" s="100"/>
      <c r="D137" s="117"/>
    </row>
    <row r="138" spans="1:4">
      <c r="A138" s="16">
        <v>45925</v>
      </c>
      <c r="B138" s="50" t="s">
        <v>554</v>
      </c>
      <c r="C138" s="7"/>
      <c r="D138" s="23">
        <v>1110</v>
      </c>
    </row>
    <row r="139" spans="1:4">
      <c r="A139" s="16">
        <v>45908</v>
      </c>
      <c r="B139" s="50" t="s">
        <v>560</v>
      </c>
      <c r="C139" s="7" t="s">
        <v>561</v>
      </c>
      <c r="D139" s="23">
        <v>4680</v>
      </c>
    </row>
    <row r="140" spans="1:4">
      <c r="A140" s="16">
        <v>45903</v>
      </c>
      <c r="B140" s="50" t="s">
        <v>574</v>
      </c>
      <c r="C140" s="7" t="s">
        <v>575</v>
      </c>
      <c r="D140" s="23">
        <v>12800</v>
      </c>
    </row>
    <row r="141" spans="1:4">
      <c r="A141" s="16">
        <v>45913</v>
      </c>
      <c r="B141" s="50" t="s">
        <v>576</v>
      </c>
      <c r="C141" s="7" t="s">
        <v>577</v>
      </c>
      <c r="D141" s="23">
        <v>3150</v>
      </c>
    </row>
    <row r="142" spans="1:4">
      <c r="A142" s="16">
        <v>45919</v>
      </c>
      <c r="B142" s="97" t="s">
        <v>588</v>
      </c>
      <c r="C142" s="99"/>
      <c r="D142" s="116">
        <v>9800</v>
      </c>
    </row>
    <row r="143" spans="1:4">
      <c r="A143" s="16">
        <v>45924</v>
      </c>
      <c r="B143" s="98"/>
      <c r="C143" s="100"/>
      <c r="D143" s="117"/>
    </row>
    <row r="144" spans="1:4">
      <c r="A144" s="16">
        <v>45904</v>
      </c>
      <c r="B144" s="50" t="s">
        <v>600</v>
      </c>
      <c r="C144" s="7" t="s">
        <v>601</v>
      </c>
      <c r="D144" s="23">
        <v>4050</v>
      </c>
    </row>
    <row r="145" spans="1:4">
      <c r="A145" s="16">
        <v>45911</v>
      </c>
      <c r="B145" s="97" t="s">
        <v>604</v>
      </c>
      <c r="C145" s="99" t="s">
        <v>605</v>
      </c>
      <c r="D145" s="116">
        <v>18300</v>
      </c>
    </row>
    <row r="146" spans="1:4">
      <c r="A146" s="16">
        <v>45911</v>
      </c>
      <c r="B146" s="98"/>
      <c r="C146" s="100"/>
      <c r="D146" s="117"/>
    </row>
    <row r="147" spans="1:4">
      <c r="A147" s="16">
        <v>45918</v>
      </c>
      <c r="B147" s="50" t="s">
        <v>621</v>
      </c>
      <c r="C147" s="7" t="s">
        <v>622</v>
      </c>
      <c r="D147" s="23">
        <v>7650</v>
      </c>
    </row>
    <row r="148" spans="1:4">
      <c r="A148" s="16">
        <v>45916</v>
      </c>
      <c r="B148" s="50" t="s">
        <v>627</v>
      </c>
      <c r="C148" s="7" t="s">
        <v>628</v>
      </c>
      <c r="D148" s="23">
        <v>9600</v>
      </c>
    </row>
    <row r="149" spans="1:4">
      <c r="A149" s="16">
        <v>45909</v>
      </c>
      <c r="B149" s="50" t="s">
        <v>635</v>
      </c>
      <c r="C149" s="7"/>
      <c r="D149" s="23">
        <v>1750</v>
      </c>
    </row>
    <row r="150" spans="1:4">
      <c r="A150" s="16">
        <v>45909</v>
      </c>
      <c r="B150" s="50" t="s">
        <v>643</v>
      </c>
      <c r="C150" s="7" t="s">
        <v>644</v>
      </c>
      <c r="D150" s="23">
        <v>2100</v>
      </c>
    </row>
    <row r="151" spans="1:4">
      <c r="A151" s="16">
        <v>45911</v>
      </c>
      <c r="B151" s="97" t="s">
        <v>647</v>
      </c>
      <c r="C151" s="99" t="s">
        <v>648</v>
      </c>
      <c r="D151" s="116">
        <v>99430</v>
      </c>
    </row>
    <row r="152" spans="1:4">
      <c r="A152" s="16">
        <v>45915</v>
      </c>
      <c r="B152" s="101"/>
      <c r="C152" s="102"/>
      <c r="D152" s="118"/>
    </row>
    <row r="153" spans="1:4">
      <c r="A153" s="16">
        <v>45925</v>
      </c>
      <c r="B153" s="98"/>
      <c r="C153" s="100"/>
      <c r="D153" s="117"/>
    </row>
    <row r="154" spans="1:4">
      <c r="A154" s="16">
        <v>45918</v>
      </c>
      <c r="B154" s="50" t="s">
        <v>653</v>
      </c>
      <c r="C154" s="7" t="s">
        <v>654</v>
      </c>
      <c r="D154" s="23">
        <v>22125</v>
      </c>
    </row>
    <row r="155" spans="1:4">
      <c r="A155" s="16">
        <v>45902</v>
      </c>
      <c r="B155" s="97" t="s">
        <v>655</v>
      </c>
      <c r="C155" s="99" t="s">
        <v>656</v>
      </c>
      <c r="D155" s="116">
        <v>47200</v>
      </c>
    </row>
    <row r="156" spans="1:4">
      <c r="A156" s="16">
        <v>45911</v>
      </c>
      <c r="B156" s="101"/>
      <c r="C156" s="102"/>
      <c r="D156" s="118"/>
    </row>
    <row r="157" spans="1:4">
      <c r="A157" s="16">
        <v>45923</v>
      </c>
      <c r="B157" s="101"/>
      <c r="C157" s="102"/>
      <c r="D157" s="118"/>
    </row>
    <row r="158" spans="1:4">
      <c r="A158" s="16">
        <v>45925</v>
      </c>
      <c r="B158" s="98"/>
      <c r="C158" s="100"/>
      <c r="D158" s="117"/>
    </row>
    <row r="159" spans="1:4">
      <c r="A159" s="16">
        <v>45917</v>
      </c>
      <c r="B159" s="97" t="s">
        <v>657</v>
      </c>
      <c r="C159" s="99"/>
      <c r="D159" s="116">
        <v>13293</v>
      </c>
    </row>
    <row r="160" spans="1:4">
      <c r="A160" s="16">
        <v>45918</v>
      </c>
      <c r="B160" s="101"/>
      <c r="C160" s="102"/>
      <c r="D160" s="118"/>
    </row>
    <row r="161" spans="1:4">
      <c r="A161" s="16">
        <v>45923</v>
      </c>
      <c r="B161" s="98"/>
      <c r="C161" s="100"/>
      <c r="D161" s="117"/>
    </row>
    <row r="162" spans="1:4">
      <c r="A162" s="16">
        <v>45916</v>
      </c>
      <c r="B162" s="50" t="s">
        <v>685</v>
      </c>
      <c r="C162" s="7" t="s">
        <v>686</v>
      </c>
      <c r="D162" s="23">
        <v>18800</v>
      </c>
    </row>
    <row r="163" spans="1:4">
      <c r="A163" s="16">
        <v>45901</v>
      </c>
      <c r="B163" s="50" t="s">
        <v>693</v>
      </c>
      <c r="C163" s="7" t="s">
        <v>694</v>
      </c>
      <c r="D163" s="23">
        <v>15120</v>
      </c>
    </row>
    <row r="164" spans="1:4">
      <c r="A164" s="16">
        <v>45911</v>
      </c>
      <c r="B164" s="50" t="s">
        <v>695</v>
      </c>
      <c r="C164" s="7" t="s">
        <v>696</v>
      </c>
      <c r="D164" s="23">
        <v>19500</v>
      </c>
    </row>
    <row r="165" spans="1:4">
      <c r="A165" s="16">
        <v>45904</v>
      </c>
      <c r="B165" s="50" t="s">
        <v>702</v>
      </c>
      <c r="C165" s="7"/>
      <c r="D165" s="23">
        <v>4600</v>
      </c>
    </row>
    <row r="166" spans="1:4">
      <c r="A166" s="16">
        <v>45925</v>
      </c>
      <c r="B166" s="50" t="s">
        <v>705</v>
      </c>
      <c r="C166" s="7" t="s">
        <v>706</v>
      </c>
      <c r="D166" s="23">
        <v>1960</v>
      </c>
    </row>
    <row r="167" spans="1:4">
      <c r="A167" s="16">
        <v>45919</v>
      </c>
      <c r="B167" s="50" t="s">
        <v>709</v>
      </c>
      <c r="C167" s="7"/>
      <c r="D167" s="23">
        <v>3540</v>
      </c>
    </row>
    <row r="168" spans="1:4">
      <c r="A168" s="16">
        <v>45911</v>
      </c>
      <c r="B168" s="50" t="s">
        <v>732</v>
      </c>
      <c r="C168" s="7" t="s">
        <v>733</v>
      </c>
      <c r="D168" s="23">
        <v>17100</v>
      </c>
    </row>
    <row r="169" spans="1:4">
      <c r="A169" s="16">
        <v>45911</v>
      </c>
      <c r="B169" s="50" t="s">
        <v>751</v>
      </c>
      <c r="C169" s="7"/>
      <c r="D169" s="23">
        <v>1700</v>
      </c>
    </row>
    <row r="170" spans="1:4">
      <c r="A170" s="16">
        <v>45902</v>
      </c>
      <c r="B170" s="50" t="s">
        <v>753</v>
      </c>
      <c r="C170" s="7"/>
      <c r="D170" s="23">
        <v>7370</v>
      </c>
    </row>
    <row r="171" spans="1:4">
      <c r="A171" s="16">
        <v>45904</v>
      </c>
      <c r="B171" s="50" t="s">
        <v>764</v>
      </c>
      <c r="C171" s="7" t="s">
        <v>765</v>
      </c>
      <c r="D171" s="23">
        <v>37600</v>
      </c>
    </row>
    <row r="172" spans="1:4">
      <c r="A172" s="16">
        <v>45904</v>
      </c>
      <c r="B172" s="50" t="s">
        <v>772</v>
      </c>
      <c r="C172" s="7" t="s">
        <v>773</v>
      </c>
      <c r="D172" s="23">
        <v>5700</v>
      </c>
    </row>
    <row r="173" spans="1:4">
      <c r="A173" s="16">
        <v>45902</v>
      </c>
      <c r="B173" s="97" t="s">
        <v>776</v>
      </c>
      <c r="C173" s="99" t="s">
        <v>777</v>
      </c>
      <c r="D173" s="116">
        <v>127840</v>
      </c>
    </row>
    <row r="174" spans="1:4">
      <c r="A174" s="16">
        <v>45905</v>
      </c>
      <c r="B174" s="101"/>
      <c r="C174" s="102"/>
      <c r="D174" s="118"/>
    </row>
    <row r="175" spans="1:4">
      <c r="A175" s="16">
        <v>45926</v>
      </c>
      <c r="B175" s="98"/>
      <c r="C175" s="100"/>
      <c r="D175" s="117"/>
    </row>
    <row r="176" spans="1:4">
      <c r="A176" s="16">
        <v>45905</v>
      </c>
      <c r="B176" s="50" t="s">
        <v>778</v>
      </c>
      <c r="C176" s="7" t="s">
        <v>779</v>
      </c>
      <c r="D176" s="23">
        <v>6060</v>
      </c>
    </row>
    <row r="177" spans="1:4">
      <c r="A177" s="16">
        <v>45904</v>
      </c>
      <c r="B177" s="50" t="s">
        <v>784</v>
      </c>
      <c r="C177" s="7" t="s">
        <v>785</v>
      </c>
      <c r="D177" s="23">
        <v>905</v>
      </c>
    </row>
    <row r="178" spans="1:4">
      <c r="A178" s="16">
        <v>45912</v>
      </c>
      <c r="B178" s="50" t="s">
        <v>786</v>
      </c>
      <c r="C178" s="7" t="s">
        <v>787</v>
      </c>
      <c r="D178" s="23">
        <v>725</v>
      </c>
    </row>
    <row r="179" spans="1:4">
      <c r="A179" s="16">
        <v>45926</v>
      </c>
      <c r="B179" s="50" t="s">
        <v>791</v>
      </c>
      <c r="C179" s="7"/>
      <c r="D179" s="23">
        <v>15590</v>
      </c>
    </row>
    <row r="180" spans="1:4">
      <c r="A180" s="16">
        <v>45915</v>
      </c>
      <c r="B180" s="97" t="s">
        <v>800</v>
      </c>
      <c r="C180" s="99" t="s">
        <v>801</v>
      </c>
      <c r="D180" s="116">
        <v>99500</v>
      </c>
    </row>
    <row r="181" spans="1:4">
      <c r="A181" s="16">
        <v>45917</v>
      </c>
      <c r="B181" s="98"/>
      <c r="C181" s="100"/>
      <c r="D181" s="117"/>
    </row>
    <row r="182" spans="1:4">
      <c r="A182" s="16">
        <v>45915</v>
      </c>
      <c r="B182" s="50" t="s">
        <v>808</v>
      </c>
      <c r="C182" s="7" t="s">
        <v>809</v>
      </c>
      <c r="D182" s="23">
        <v>2300</v>
      </c>
    </row>
    <row r="183" spans="1:4">
      <c r="A183" s="16">
        <v>45924</v>
      </c>
      <c r="B183" s="50" t="s">
        <v>810</v>
      </c>
      <c r="C183" s="7"/>
      <c r="D183" s="23">
        <v>915</v>
      </c>
    </row>
    <row r="184" spans="1:4">
      <c r="A184" s="16">
        <v>45915</v>
      </c>
      <c r="B184" s="97" t="s">
        <v>821</v>
      </c>
      <c r="C184" s="99" t="s">
        <v>822</v>
      </c>
      <c r="D184" s="116">
        <v>31382</v>
      </c>
    </row>
    <row r="185" spans="1:4">
      <c r="A185" s="16">
        <v>45925</v>
      </c>
      <c r="B185" s="98"/>
      <c r="C185" s="100"/>
      <c r="D185" s="117"/>
    </row>
    <row r="186" spans="1:4">
      <c r="A186" s="16">
        <v>45902</v>
      </c>
      <c r="B186" s="97" t="s">
        <v>823</v>
      </c>
      <c r="C186" s="99" t="s">
        <v>824</v>
      </c>
      <c r="D186" s="116">
        <v>15144</v>
      </c>
    </row>
    <row r="187" spans="1:4">
      <c r="A187" s="16">
        <v>45908</v>
      </c>
      <c r="B187" s="101"/>
      <c r="C187" s="102"/>
      <c r="D187" s="118"/>
    </row>
    <row r="188" spans="1:4">
      <c r="A188" s="16">
        <v>45916</v>
      </c>
      <c r="B188" s="101"/>
      <c r="C188" s="102"/>
      <c r="D188" s="118"/>
    </row>
    <row r="189" spans="1:4">
      <c r="A189" s="16">
        <v>45917</v>
      </c>
      <c r="B189" s="101"/>
      <c r="C189" s="102"/>
      <c r="D189" s="118"/>
    </row>
    <row r="190" spans="1:4">
      <c r="A190" s="16">
        <v>45917</v>
      </c>
      <c r="B190" s="101"/>
      <c r="C190" s="102"/>
      <c r="D190" s="118"/>
    </row>
    <row r="191" spans="1:4">
      <c r="A191" s="16">
        <v>45924</v>
      </c>
      <c r="B191" s="101"/>
      <c r="C191" s="102"/>
      <c r="D191" s="118"/>
    </row>
    <row r="192" spans="1:4">
      <c r="A192" s="16">
        <v>45930</v>
      </c>
      <c r="B192" s="98"/>
      <c r="C192" s="100"/>
      <c r="D192" s="117"/>
    </row>
    <row r="193" spans="1:4">
      <c r="A193" s="16">
        <v>45918</v>
      </c>
      <c r="B193" s="50" t="s">
        <v>833</v>
      </c>
      <c r="C193" s="7" t="s">
        <v>834</v>
      </c>
      <c r="D193" s="23">
        <v>12600</v>
      </c>
    </row>
    <row r="194" spans="1:4">
      <c r="A194" s="16">
        <v>45901</v>
      </c>
      <c r="B194" s="50" t="s">
        <v>845</v>
      </c>
      <c r="C194" s="7" t="s">
        <v>846</v>
      </c>
      <c r="D194" s="23">
        <v>20370</v>
      </c>
    </row>
    <row r="195" spans="1:4">
      <c r="A195" s="16">
        <v>45927</v>
      </c>
      <c r="B195" s="50" t="s">
        <v>851</v>
      </c>
      <c r="C195" s="7"/>
      <c r="D195" s="23">
        <v>1784</v>
      </c>
    </row>
    <row r="196" spans="1:4">
      <c r="A196" s="16">
        <v>45918</v>
      </c>
      <c r="B196" s="50" t="s">
        <v>855</v>
      </c>
      <c r="C196" s="7" t="s">
        <v>856</v>
      </c>
      <c r="D196" s="23">
        <v>10310</v>
      </c>
    </row>
    <row r="197" spans="1:4">
      <c r="A197" s="16">
        <v>45926</v>
      </c>
      <c r="B197" s="50" t="s">
        <v>857</v>
      </c>
      <c r="C197" s="7"/>
      <c r="D197" s="23">
        <v>1050</v>
      </c>
    </row>
    <row r="198" spans="1:4">
      <c r="A198" s="16">
        <v>45903</v>
      </c>
      <c r="B198" s="97" t="s">
        <v>858</v>
      </c>
      <c r="C198" s="99" t="s">
        <v>859</v>
      </c>
      <c r="D198" s="116">
        <v>49005</v>
      </c>
    </row>
    <row r="199" spans="1:4">
      <c r="A199" s="16">
        <v>45919</v>
      </c>
      <c r="B199" s="98"/>
      <c r="C199" s="100"/>
      <c r="D199" s="117"/>
    </row>
    <row r="200" spans="1:4">
      <c r="A200" s="16">
        <v>45905</v>
      </c>
      <c r="B200" s="50" t="s">
        <v>864</v>
      </c>
      <c r="C200" s="7" t="s">
        <v>865</v>
      </c>
      <c r="D200" s="23">
        <v>9082</v>
      </c>
    </row>
    <row r="201" spans="1:4">
      <c r="A201" s="16">
        <v>45908</v>
      </c>
      <c r="B201" s="97" t="s">
        <v>892</v>
      </c>
      <c r="C201" s="99" t="s">
        <v>893</v>
      </c>
      <c r="D201" s="116">
        <v>19384</v>
      </c>
    </row>
    <row r="202" spans="1:4">
      <c r="A202" s="16">
        <v>45909</v>
      </c>
      <c r="B202" s="101"/>
      <c r="C202" s="102"/>
      <c r="D202" s="118"/>
    </row>
    <row r="203" spans="1:4">
      <c r="A203" s="16">
        <v>45915</v>
      </c>
      <c r="B203" s="98"/>
      <c r="C203" s="100"/>
      <c r="D203" s="117"/>
    </row>
    <row r="204" spans="1:4">
      <c r="A204" s="16">
        <v>45919</v>
      </c>
      <c r="B204" s="50" t="s">
        <v>904</v>
      </c>
      <c r="C204" s="7" t="s">
        <v>905</v>
      </c>
      <c r="D204" s="23">
        <v>24750</v>
      </c>
    </row>
    <row r="205" spans="1:4">
      <c r="A205" s="16">
        <v>45915</v>
      </c>
      <c r="B205" s="50" t="s">
        <v>910</v>
      </c>
      <c r="C205" s="7" t="s">
        <v>911</v>
      </c>
      <c r="D205" s="23">
        <v>7800</v>
      </c>
    </row>
    <row r="206" spans="1:4">
      <c r="A206" s="17"/>
      <c r="B206" s="18" t="s">
        <v>918</v>
      </c>
      <c r="C206" s="7"/>
      <c r="D206" s="44">
        <f>SUM(D4:D205)</f>
        <v>4093631.2600000002</v>
      </c>
    </row>
  </sheetData>
  <sortState xmlns:xlrd2="http://schemas.microsoft.com/office/spreadsheetml/2017/richdata2" ref="A4:C205">
    <sortCondition ref="B4:B205"/>
  </sortState>
  <mergeCells count="113">
    <mergeCell ref="A1:B1"/>
    <mergeCell ref="A2:B2"/>
    <mergeCell ref="B4:B5"/>
    <mergeCell ref="C4:C5"/>
    <mergeCell ref="D4:D5"/>
    <mergeCell ref="B19:B24"/>
    <mergeCell ref="C19:C24"/>
    <mergeCell ref="D19:D24"/>
    <mergeCell ref="B26:B31"/>
    <mergeCell ref="C26:C31"/>
    <mergeCell ref="D26:D31"/>
    <mergeCell ref="B8:B12"/>
    <mergeCell ref="C8:C12"/>
    <mergeCell ref="D8:D12"/>
    <mergeCell ref="B14:B15"/>
    <mergeCell ref="C14:C15"/>
    <mergeCell ref="D14:D15"/>
    <mergeCell ref="B42:B44"/>
    <mergeCell ref="C42:C44"/>
    <mergeCell ref="D42:D44"/>
    <mergeCell ref="B46:B47"/>
    <mergeCell ref="C46:C47"/>
    <mergeCell ref="D46:D47"/>
    <mergeCell ref="B32:B34"/>
    <mergeCell ref="C32:C34"/>
    <mergeCell ref="D32:D34"/>
    <mergeCell ref="B37:B40"/>
    <mergeCell ref="C37:C40"/>
    <mergeCell ref="D37:D40"/>
    <mergeCell ref="B63:B64"/>
    <mergeCell ref="C63:C64"/>
    <mergeCell ref="D63:D64"/>
    <mergeCell ref="B68:B69"/>
    <mergeCell ref="C68:C69"/>
    <mergeCell ref="D68:D69"/>
    <mergeCell ref="B48:B49"/>
    <mergeCell ref="C48:C49"/>
    <mergeCell ref="D48:D49"/>
    <mergeCell ref="B51:B53"/>
    <mergeCell ref="C51:C53"/>
    <mergeCell ref="D51:D53"/>
    <mergeCell ref="B83:B85"/>
    <mergeCell ref="C83:C85"/>
    <mergeCell ref="D83:D85"/>
    <mergeCell ref="B86:B89"/>
    <mergeCell ref="C86:C89"/>
    <mergeCell ref="D86:D89"/>
    <mergeCell ref="B70:B73"/>
    <mergeCell ref="C70:C73"/>
    <mergeCell ref="D70:D73"/>
    <mergeCell ref="B74:B75"/>
    <mergeCell ref="C74:C75"/>
    <mergeCell ref="D74:D75"/>
    <mergeCell ref="B102:B104"/>
    <mergeCell ref="C102:C104"/>
    <mergeCell ref="D102:D104"/>
    <mergeCell ref="B107:B109"/>
    <mergeCell ref="C107:C109"/>
    <mergeCell ref="D107:D109"/>
    <mergeCell ref="B90:B96"/>
    <mergeCell ref="C90:C96"/>
    <mergeCell ref="D90:D96"/>
    <mergeCell ref="B97:B99"/>
    <mergeCell ref="C97:C99"/>
    <mergeCell ref="D97:D99"/>
    <mergeCell ref="B123:B124"/>
    <mergeCell ref="C123:C124"/>
    <mergeCell ref="D123:D124"/>
    <mergeCell ref="B133:B134"/>
    <mergeCell ref="C133:C134"/>
    <mergeCell ref="D133:D134"/>
    <mergeCell ref="B111:B112"/>
    <mergeCell ref="C111:C112"/>
    <mergeCell ref="D111:D112"/>
    <mergeCell ref="B118:B120"/>
    <mergeCell ref="C118:C120"/>
    <mergeCell ref="D118:D120"/>
    <mergeCell ref="B145:B146"/>
    <mergeCell ref="C145:C146"/>
    <mergeCell ref="D145:D146"/>
    <mergeCell ref="B151:B153"/>
    <mergeCell ref="C151:C153"/>
    <mergeCell ref="D151:D153"/>
    <mergeCell ref="B135:B137"/>
    <mergeCell ref="C135:C137"/>
    <mergeCell ref="D135:D137"/>
    <mergeCell ref="B142:B143"/>
    <mergeCell ref="C142:C143"/>
    <mergeCell ref="D142:D143"/>
    <mergeCell ref="B173:B175"/>
    <mergeCell ref="C173:C175"/>
    <mergeCell ref="D173:D175"/>
    <mergeCell ref="B180:B181"/>
    <mergeCell ref="C180:C181"/>
    <mergeCell ref="D180:D181"/>
    <mergeCell ref="B155:B158"/>
    <mergeCell ref="C155:C158"/>
    <mergeCell ref="D155:D158"/>
    <mergeCell ref="B159:B161"/>
    <mergeCell ref="C159:C161"/>
    <mergeCell ref="D159:D161"/>
    <mergeCell ref="B198:B199"/>
    <mergeCell ref="C198:C199"/>
    <mergeCell ref="D198:D199"/>
    <mergeCell ref="B201:B203"/>
    <mergeCell ref="C201:C203"/>
    <mergeCell ref="D201:D203"/>
    <mergeCell ref="B184:B185"/>
    <mergeCell ref="C184:C185"/>
    <mergeCell ref="D184:D185"/>
    <mergeCell ref="B186:B192"/>
    <mergeCell ref="C186:C192"/>
    <mergeCell ref="D186:D19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BE812-EB8C-CA44-9E1F-4D7A72D37659}">
  <dimension ref="A1:D163"/>
  <sheetViews>
    <sheetView topLeftCell="A143" workbookViewId="0">
      <selection activeCell="B4" sqref="B4"/>
    </sheetView>
  </sheetViews>
  <sheetFormatPr defaultColWidth="8.85546875" defaultRowHeight="15"/>
  <cols>
    <col min="1" max="1" width="10.85546875" style="1" customWidth="1"/>
    <col min="2" max="2" width="53.7109375" style="1" customWidth="1"/>
    <col min="3" max="3" width="17.7109375" style="1" customWidth="1"/>
    <col min="4" max="4" width="13.7109375" style="1" customWidth="1"/>
    <col min="5" max="16384" width="8.85546875" style="1"/>
  </cols>
  <sheetData>
    <row r="1" spans="1:4" ht="15.75">
      <c r="A1" s="84" t="s">
        <v>912</v>
      </c>
      <c r="B1" s="84"/>
      <c r="C1" s="12"/>
      <c r="D1" s="24"/>
    </row>
    <row r="2" spans="1:4">
      <c r="A2" s="85" t="s">
        <v>929</v>
      </c>
      <c r="B2" s="85"/>
      <c r="C2" s="12"/>
      <c r="D2" s="24"/>
    </row>
    <row r="3" spans="1:4">
      <c r="A3" s="14" t="s">
        <v>914</v>
      </c>
      <c r="B3" s="15" t="s">
        <v>1</v>
      </c>
      <c r="C3" s="14" t="s">
        <v>2</v>
      </c>
      <c r="D3" s="24" t="s">
        <v>915</v>
      </c>
    </row>
    <row r="4" spans="1:4">
      <c r="A4" s="16">
        <v>45958</v>
      </c>
      <c r="B4" s="50" t="s">
        <v>20</v>
      </c>
      <c r="C4" s="7" t="s">
        <v>21</v>
      </c>
      <c r="D4" s="23">
        <v>10600</v>
      </c>
    </row>
    <row r="5" spans="1:4">
      <c r="A5" s="16">
        <v>45953</v>
      </c>
      <c r="B5" s="50" t="s">
        <v>31</v>
      </c>
      <c r="C5" s="7" t="s">
        <v>32</v>
      </c>
      <c r="D5" s="23">
        <v>18000</v>
      </c>
    </row>
    <row r="6" spans="1:4">
      <c r="A6" s="16">
        <v>45960</v>
      </c>
      <c r="B6" s="50" t="s">
        <v>37</v>
      </c>
      <c r="C6" s="7" t="s">
        <v>38</v>
      </c>
      <c r="D6" s="23">
        <v>18660</v>
      </c>
    </row>
    <row r="7" spans="1:4">
      <c r="A7" s="16">
        <v>45959</v>
      </c>
      <c r="B7" s="50" t="s">
        <v>45</v>
      </c>
      <c r="C7" s="7"/>
      <c r="D7" s="23">
        <v>2050</v>
      </c>
    </row>
    <row r="8" spans="1:4">
      <c r="A8" s="16">
        <v>45937</v>
      </c>
      <c r="B8" s="103" t="s">
        <v>50</v>
      </c>
      <c r="C8" s="85" t="s">
        <v>51</v>
      </c>
      <c r="D8" s="116">
        <v>46800</v>
      </c>
    </row>
    <row r="9" spans="1:4">
      <c r="A9" s="16">
        <v>45952</v>
      </c>
      <c r="B9" s="103"/>
      <c r="C9" s="85"/>
      <c r="D9" s="118"/>
    </row>
    <row r="10" spans="1:4">
      <c r="A10" s="16">
        <v>45957</v>
      </c>
      <c r="B10" s="103"/>
      <c r="C10" s="85"/>
      <c r="D10" s="117"/>
    </row>
    <row r="11" spans="1:4">
      <c r="A11" s="16">
        <v>45933</v>
      </c>
      <c r="B11" s="97" t="s">
        <v>52</v>
      </c>
      <c r="C11" s="99"/>
      <c r="D11" s="116">
        <v>46310.15</v>
      </c>
    </row>
    <row r="12" spans="1:4">
      <c r="A12" s="16">
        <v>45944</v>
      </c>
      <c r="B12" s="101"/>
      <c r="C12" s="102"/>
      <c r="D12" s="118"/>
    </row>
    <row r="13" spans="1:4">
      <c r="A13" s="16">
        <v>45946</v>
      </c>
      <c r="B13" s="101"/>
      <c r="C13" s="102"/>
      <c r="D13" s="118"/>
    </row>
    <row r="14" spans="1:4">
      <c r="A14" s="16">
        <v>45959</v>
      </c>
      <c r="B14" s="98"/>
      <c r="C14" s="100"/>
      <c r="D14" s="117"/>
    </row>
    <row r="15" spans="1:4">
      <c r="A15" s="16">
        <v>45960</v>
      </c>
      <c r="B15" s="50" t="s">
        <v>56</v>
      </c>
      <c r="C15" s="7" t="s">
        <v>57</v>
      </c>
      <c r="D15" s="23">
        <v>500</v>
      </c>
    </row>
    <row r="16" spans="1:4">
      <c r="A16" s="16">
        <v>45952</v>
      </c>
      <c r="B16" s="50" t="s">
        <v>59</v>
      </c>
      <c r="C16" s="7" t="s">
        <v>60</v>
      </c>
      <c r="D16" s="23">
        <v>3400</v>
      </c>
    </row>
    <row r="17" spans="1:4">
      <c r="A17" s="16">
        <v>45936</v>
      </c>
      <c r="B17" s="50" t="s">
        <v>62</v>
      </c>
      <c r="C17" s="7"/>
      <c r="D17" s="23">
        <v>285</v>
      </c>
    </row>
    <row r="18" spans="1:4">
      <c r="A18" s="16">
        <v>45959</v>
      </c>
      <c r="B18" s="50" t="s">
        <v>76</v>
      </c>
      <c r="C18" s="7" t="s">
        <v>77</v>
      </c>
      <c r="D18" s="23">
        <v>16640</v>
      </c>
    </row>
    <row r="19" spans="1:4">
      <c r="A19" s="16">
        <v>45936</v>
      </c>
      <c r="B19" s="97" t="s">
        <v>84</v>
      </c>
      <c r="C19" s="99" t="s">
        <v>85</v>
      </c>
      <c r="D19" s="116">
        <v>7135.25</v>
      </c>
    </row>
    <row r="20" spans="1:4">
      <c r="A20" s="16">
        <v>45959</v>
      </c>
      <c r="B20" s="98"/>
      <c r="C20" s="100"/>
      <c r="D20" s="117"/>
    </row>
    <row r="21" spans="1:4">
      <c r="A21" s="16">
        <v>45931</v>
      </c>
      <c r="B21" s="97" t="s">
        <v>88</v>
      </c>
      <c r="C21" s="99" t="s">
        <v>89</v>
      </c>
      <c r="D21" s="116">
        <v>16520</v>
      </c>
    </row>
    <row r="22" spans="1:4">
      <c r="A22" s="16">
        <v>45947</v>
      </c>
      <c r="B22" s="101"/>
      <c r="C22" s="102"/>
      <c r="D22" s="118"/>
    </row>
    <row r="23" spans="1:4">
      <c r="A23" s="16">
        <v>45960</v>
      </c>
      <c r="B23" s="98"/>
      <c r="C23" s="100"/>
      <c r="D23" s="117"/>
    </row>
    <row r="24" spans="1:4">
      <c r="A24" s="16">
        <v>45936</v>
      </c>
      <c r="B24" s="97" t="s">
        <v>108</v>
      </c>
      <c r="C24" s="99" t="s">
        <v>109</v>
      </c>
      <c r="D24" s="116">
        <v>186420</v>
      </c>
    </row>
    <row r="25" spans="1:4">
      <c r="A25" s="16">
        <v>45938</v>
      </c>
      <c r="B25" s="101"/>
      <c r="C25" s="102"/>
      <c r="D25" s="118"/>
    </row>
    <row r="26" spans="1:4">
      <c r="A26" s="16">
        <v>45940</v>
      </c>
      <c r="B26" s="101"/>
      <c r="C26" s="102"/>
      <c r="D26" s="118"/>
    </row>
    <row r="27" spans="1:4">
      <c r="A27" s="16">
        <v>45959</v>
      </c>
      <c r="B27" s="101"/>
      <c r="C27" s="102"/>
      <c r="D27" s="118"/>
    </row>
    <row r="28" spans="1:4">
      <c r="A28" s="16">
        <v>45960</v>
      </c>
      <c r="B28" s="98"/>
      <c r="C28" s="100"/>
      <c r="D28" s="117"/>
    </row>
    <row r="29" spans="1:4">
      <c r="A29" s="16">
        <v>45946</v>
      </c>
      <c r="B29" s="97" t="s">
        <v>110</v>
      </c>
      <c r="C29" s="99" t="s">
        <v>111</v>
      </c>
      <c r="D29" s="116">
        <v>110450</v>
      </c>
    </row>
    <row r="30" spans="1:4">
      <c r="A30" s="16">
        <v>45957</v>
      </c>
      <c r="B30" s="101"/>
      <c r="C30" s="102"/>
      <c r="D30" s="118"/>
    </row>
    <row r="31" spans="1:4">
      <c r="A31" s="16">
        <v>45961</v>
      </c>
      <c r="B31" s="98"/>
      <c r="C31" s="100"/>
      <c r="D31" s="117"/>
    </row>
    <row r="32" spans="1:4">
      <c r="A32" s="16">
        <v>45936</v>
      </c>
      <c r="B32" s="97" t="s">
        <v>136</v>
      </c>
      <c r="C32" s="99" t="s">
        <v>137</v>
      </c>
      <c r="D32" s="116">
        <v>67100</v>
      </c>
    </row>
    <row r="33" spans="1:4">
      <c r="A33" s="16">
        <v>45939</v>
      </c>
      <c r="B33" s="101"/>
      <c r="C33" s="102"/>
      <c r="D33" s="118"/>
    </row>
    <row r="34" spans="1:4">
      <c r="A34" s="16">
        <v>45944</v>
      </c>
      <c r="B34" s="101"/>
      <c r="C34" s="102"/>
      <c r="D34" s="118"/>
    </row>
    <row r="35" spans="1:4">
      <c r="A35" s="16">
        <v>45948</v>
      </c>
      <c r="B35" s="98"/>
      <c r="C35" s="100"/>
      <c r="D35" s="117"/>
    </row>
    <row r="36" spans="1:4">
      <c r="A36" s="16">
        <v>45945</v>
      </c>
      <c r="B36" s="50" t="s">
        <v>145</v>
      </c>
      <c r="C36" s="7" t="s">
        <v>146</v>
      </c>
      <c r="D36" s="23">
        <v>28800</v>
      </c>
    </row>
    <row r="37" spans="1:4">
      <c r="A37" s="16">
        <v>45943</v>
      </c>
      <c r="B37" s="97" t="s">
        <v>147</v>
      </c>
      <c r="C37" s="99" t="s">
        <v>148</v>
      </c>
      <c r="D37" s="116">
        <v>15679</v>
      </c>
    </row>
    <row r="38" spans="1:4">
      <c r="A38" s="16">
        <v>45961</v>
      </c>
      <c r="B38" s="98"/>
      <c r="C38" s="100"/>
      <c r="D38" s="117"/>
    </row>
    <row r="39" spans="1:4">
      <c r="A39" s="16">
        <v>45937</v>
      </c>
      <c r="B39" s="50" t="s">
        <v>149</v>
      </c>
      <c r="C39" s="7" t="s">
        <v>150</v>
      </c>
      <c r="D39" s="23">
        <v>3975</v>
      </c>
    </row>
    <row r="40" spans="1:4">
      <c r="A40" s="16">
        <v>45933</v>
      </c>
      <c r="B40" s="97" t="s">
        <v>160</v>
      </c>
      <c r="C40" s="99" t="s">
        <v>161</v>
      </c>
      <c r="D40" s="116">
        <v>10575</v>
      </c>
    </row>
    <row r="41" spans="1:4">
      <c r="A41" s="16">
        <v>45940</v>
      </c>
      <c r="B41" s="98"/>
      <c r="C41" s="100"/>
      <c r="D41" s="117"/>
    </row>
    <row r="42" spans="1:4">
      <c r="A42" s="16">
        <v>45947</v>
      </c>
      <c r="B42" s="50" t="s">
        <v>930</v>
      </c>
      <c r="C42" s="7"/>
      <c r="D42" s="23">
        <v>1400</v>
      </c>
    </row>
    <row r="43" spans="1:4">
      <c r="A43" s="16">
        <v>45941</v>
      </c>
      <c r="B43" s="50" t="s">
        <v>186</v>
      </c>
      <c r="C43" s="7"/>
      <c r="D43" s="23">
        <v>26250</v>
      </c>
    </row>
    <row r="44" spans="1:4">
      <c r="A44" s="16">
        <v>45937</v>
      </c>
      <c r="B44" s="50" t="s">
        <v>198</v>
      </c>
      <c r="C44" s="7" t="s">
        <v>199</v>
      </c>
      <c r="D44" s="23">
        <v>172500</v>
      </c>
    </row>
    <row r="45" spans="1:4">
      <c r="A45" s="16">
        <v>45931</v>
      </c>
      <c r="B45" s="97" t="s">
        <v>200</v>
      </c>
      <c r="C45" s="99" t="s">
        <v>201</v>
      </c>
      <c r="D45" s="116">
        <v>8400</v>
      </c>
    </row>
    <row r="46" spans="1:4">
      <c r="A46" s="16">
        <v>45961</v>
      </c>
      <c r="B46" s="98"/>
      <c r="C46" s="100"/>
      <c r="D46" s="117"/>
    </row>
    <row r="47" spans="1:4">
      <c r="A47" s="16">
        <v>45940</v>
      </c>
      <c r="B47" s="50" t="s">
        <v>213</v>
      </c>
      <c r="C47" s="7" t="s">
        <v>214</v>
      </c>
      <c r="D47" s="23">
        <v>50800</v>
      </c>
    </row>
    <row r="48" spans="1:4">
      <c r="A48" s="16">
        <v>45958</v>
      </c>
      <c r="B48" s="50" t="s">
        <v>219</v>
      </c>
      <c r="C48" s="7" t="s">
        <v>220</v>
      </c>
      <c r="D48" s="23">
        <v>157486.73000000001</v>
      </c>
    </row>
    <row r="49" spans="1:4">
      <c r="A49" s="16">
        <v>45954</v>
      </c>
      <c r="B49" s="50" t="s">
        <v>221</v>
      </c>
      <c r="C49" s="7"/>
      <c r="D49" s="23">
        <v>17900</v>
      </c>
    </row>
    <row r="50" spans="1:4">
      <c r="A50" s="16">
        <v>45959</v>
      </c>
      <c r="B50" s="50" t="s">
        <v>223</v>
      </c>
      <c r="C50" s="7"/>
      <c r="D50" s="23">
        <v>1961</v>
      </c>
    </row>
    <row r="51" spans="1:4">
      <c r="A51" s="16">
        <v>45931</v>
      </c>
      <c r="B51" s="50" t="s">
        <v>253</v>
      </c>
      <c r="C51" s="7" t="s">
        <v>254</v>
      </c>
      <c r="D51" s="23">
        <v>10280</v>
      </c>
    </row>
    <row r="52" spans="1:4">
      <c r="A52" s="16">
        <v>45945</v>
      </c>
      <c r="B52" s="50" t="s">
        <v>266</v>
      </c>
      <c r="C52" s="7" t="s">
        <v>267</v>
      </c>
      <c r="D52" s="23">
        <v>11100</v>
      </c>
    </row>
    <row r="53" spans="1:4">
      <c r="A53" s="16">
        <v>45936</v>
      </c>
      <c r="B53" s="50" t="s">
        <v>268</v>
      </c>
      <c r="C53" s="7"/>
      <c r="D53" s="23">
        <v>551</v>
      </c>
    </row>
    <row r="54" spans="1:4">
      <c r="A54" s="16">
        <v>45946</v>
      </c>
      <c r="B54" s="97" t="s">
        <v>273</v>
      </c>
      <c r="C54" s="99" t="s">
        <v>274</v>
      </c>
      <c r="D54" s="116">
        <v>205870</v>
      </c>
    </row>
    <row r="55" spans="1:4">
      <c r="A55" s="16">
        <v>45959</v>
      </c>
      <c r="B55" s="101"/>
      <c r="C55" s="102"/>
      <c r="D55" s="118"/>
    </row>
    <row r="56" spans="1:4">
      <c r="A56" s="16">
        <v>45961</v>
      </c>
      <c r="B56" s="98"/>
      <c r="C56" s="100"/>
      <c r="D56" s="117"/>
    </row>
    <row r="57" spans="1:4">
      <c r="A57" s="16">
        <v>45943</v>
      </c>
      <c r="B57" s="50" t="s">
        <v>288</v>
      </c>
      <c r="C57" s="7" t="s">
        <v>289</v>
      </c>
      <c r="D57" s="23">
        <v>5740</v>
      </c>
    </row>
    <row r="58" spans="1:4">
      <c r="A58" s="16">
        <v>45939</v>
      </c>
      <c r="B58" s="97" t="s">
        <v>291</v>
      </c>
      <c r="C58" s="99" t="s">
        <v>292</v>
      </c>
      <c r="D58" s="116">
        <v>74052</v>
      </c>
    </row>
    <row r="59" spans="1:4">
      <c r="A59" s="16">
        <v>45954</v>
      </c>
      <c r="B59" s="101"/>
      <c r="C59" s="102"/>
      <c r="D59" s="118"/>
    </row>
    <row r="60" spans="1:4">
      <c r="A60" s="16">
        <v>45961</v>
      </c>
      <c r="B60" s="98"/>
      <c r="C60" s="100"/>
      <c r="D60" s="117"/>
    </row>
    <row r="61" spans="1:4">
      <c r="A61" s="16">
        <v>45960</v>
      </c>
      <c r="B61" s="50" t="s">
        <v>294</v>
      </c>
      <c r="C61" s="7" t="s">
        <v>295</v>
      </c>
      <c r="D61" s="23">
        <v>26400</v>
      </c>
    </row>
    <row r="62" spans="1:4">
      <c r="A62" s="16">
        <v>45945</v>
      </c>
      <c r="B62" s="50" t="s">
        <v>321</v>
      </c>
      <c r="C62" s="7" t="s">
        <v>322</v>
      </c>
      <c r="D62" s="23">
        <v>125700</v>
      </c>
    </row>
    <row r="63" spans="1:4">
      <c r="A63" s="16">
        <v>45931</v>
      </c>
      <c r="B63" s="50" t="s">
        <v>330</v>
      </c>
      <c r="C63" s="7" t="s">
        <v>331</v>
      </c>
      <c r="D63" s="23">
        <v>27200</v>
      </c>
    </row>
    <row r="64" spans="1:4">
      <c r="A64" s="16">
        <v>45948</v>
      </c>
      <c r="B64" s="50" t="s">
        <v>334</v>
      </c>
      <c r="C64" s="7" t="s">
        <v>335</v>
      </c>
      <c r="D64" s="23">
        <v>3800</v>
      </c>
    </row>
    <row r="65" spans="1:4">
      <c r="A65" s="16">
        <v>45945</v>
      </c>
      <c r="B65" s="50" t="s">
        <v>340</v>
      </c>
      <c r="C65" s="7" t="s">
        <v>341</v>
      </c>
      <c r="D65" s="23">
        <v>330</v>
      </c>
    </row>
    <row r="66" spans="1:4">
      <c r="A66" s="16">
        <v>45953</v>
      </c>
      <c r="B66" s="50" t="s">
        <v>343</v>
      </c>
      <c r="C66" s="7" t="s">
        <v>344</v>
      </c>
      <c r="D66" s="23">
        <v>400</v>
      </c>
    </row>
    <row r="67" spans="1:4">
      <c r="A67" s="16">
        <v>45960</v>
      </c>
      <c r="B67" s="50" t="s">
        <v>348</v>
      </c>
      <c r="C67" s="7" t="s">
        <v>349</v>
      </c>
      <c r="D67" s="23">
        <v>30500</v>
      </c>
    </row>
    <row r="68" spans="1:4">
      <c r="A68" s="16">
        <v>45947</v>
      </c>
      <c r="B68" s="97" t="s">
        <v>350</v>
      </c>
      <c r="C68" s="99" t="s">
        <v>347</v>
      </c>
      <c r="D68" s="116">
        <v>2581</v>
      </c>
    </row>
    <row r="69" spans="1:4">
      <c r="A69" s="16">
        <v>45947</v>
      </c>
      <c r="B69" s="98"/>
      <c r="C69" s="100"/>
      <c r="D69" s="117"/>
    </row>
    <row r="70" spans="1:4">
      <c r="A70" s="16">
        <v>45937</v>
      </c>
      <c r="B70" s="97" t="s">
        <v>351</v>
      </c>
      <c r="C70" s="99" t="s">
        <v>352</v>
      </c>
      <c r="D70" s="116">
        <v>283836</v>
      </c>
    </row>
    <row r="71" spans="1:4">
      <c r="A71" s="16">
        <v>45937</v>
      </c>
      <c r="B71" s="101"/>
      <c r="C71" s="102"/>
      <c r="D71" s="118"/>
    </row>
    <row r="72" spans="1:4">
      <c r="A72" s="16">
        <v>45941</v>
      </c>
      <c r="B72" s="101"/>
      <c r="C72" s="102"/>
      <c r="D72" s="118"/>
    </row>
    <row r="73" spans="1:4">
      <c r="A73" s="16">
        <v>45946</v>
      </c>
      <c r="B73" s="101"/>
      <c r="C73" s="102"/>
      <c r="D73" s="118"/>
    </row>
    <row r="74" spans="1:4">
      <c r="A74" s="16">
        <v>45946</v>
      </c>
      <c r="B74" s="101"/>
      <c r="C74" s="102"/>
      <c r="D74" s="118"/>
    </row>
    <row r="75" spans="1:4">
      <c r="A75" s="16">
        <v>45946</v>
      </c>
      <c r="B75" s="101"/>
      <c r="C75" s="102"/>
      <c r="D75" s="118"/>
    </row>
    <row r="76" spans="1:4">
      <c r="A76" s="16">
        <v>45948</v>
      </c>
      <c r="B76" s="101"/>
      <c r="C76" s="102"/>
      <c r="D76" s="118"/>
    </row>
    <row r="77" spans="1:4">
      <c r="A77" s="16">
        <v>45948</v>
      </c>
      <c r="B77" s="101"/>
      <c r="C77" s="102"/>
      <c r="D77" s="118"/>
    </row>
    <row r="78" spans="1:4">
      <c r="A78" s="16">
        <v>45948</v>
      </c>
      <c r="B78" s="98"/>
      <c r="C78" s="100"/>
      <c r="D78" s="117"/>
    </row>
    <row r="79" spans="1:4">
      <c r="A79" s="16">
        <v>45933</v>
      </c>
      <c r="B79" s="97" t="s">
        <v>353</v>
      </c>
      <c r="C79" s="99" t="s">
        <v>354</v>
      </c>
      <c r="D79" s="116">
        <v>7280</v>
      </c>
    </row>
    <row r="80" spans="1:4">
      <c r="A80" s="16">
        <v>45937</v>
      </c>
      <c r="B80" s="98"/>
      <c r="C80" s="100"/>
      <c r="D80" s="117"/>
    </row>
    <row r="81" spans="1:4">
      <c r="A81" s="16">
        <v>45934</v>
      </c>
      <c r="B81" s="50" t="s">
        <v>357</v>
      </c>
      <c r="C81" s="7" t="s">
        <v>358</v>
      </c>
      <c r="D81" s="23">
        <v>123584</v>
      </c>
    </row>
    <row r="82" spans="1:4">
      <c r="A82" s="16">
        <v>45946</v>
      </c>
      <c r="B82" s="50" t="s">
        <v>359</v>
      </c>
      <c r="C82" s="7" t="s">
        <v>360</v>
      </c>
      <c r="D82" s="23">
        <v>3500</v>
      </c>
    </row>
    <row r="83" spans="1:4">
      <c r="A83" s="16">
        <v>45938</v>
      </c>
      <c r="B83" s="97" t="s">
        <v>361</v>
      </c>
      <c r="C83" s="99" t="s">
        <v>362</v>
      </c>
      <c r="D83" s="116">
        <v>94571</v>
      </c>
    </row>
    <row r="84" spans="1:4">
      <c r="A84" s="16">
        <v>45947</v>
      </c>
      <c r="B84" s="98"/>
      <c r="C84" s="100"/>
      <c r="D84" s="117"/>
    </row>
    <row r="85" spans="1:4">
      <c r="A85" s="16">
        <v>45937</v>
      </c>
      <c r="B85" s="50" t="s">
        <v>385</v>
      </c>
      <c r="C85" s="7" t="s">
        <v>386</v>
      </c>
      <c r="D85" s="23">
        <v>700</v>
      </c>
    </row>
    <row r="86" spans="1:4">
      <c r="A86" s="16">
        <v>45933</v>
      </c>
      <c r="B86" s="97" t="s">
        <v>398</v>
      </c>
      <c r="C86" s="99" t="s">
        <v>399</v>
      </c>
      <c r="D86" s="116">
        <v>139264</v>
      </c>
    </row>
    <row r="87" spans="1:4">
      <c r="A87" s="16">
        <v>45957</v>
      </c>
      <c r="B87" s="98"/>
      <c r="C87" s="100"/>
      <c r="D87" s="117"/>
    </row>
    <row r="88" spans="1:4">
      <c r="A88" s="16">
        <v>45948</v>
      </c>
      <c r="B88" s="50" t="s">
        <v>402</v>
      </c>
      <c r="C88" s="7" t="s">
        <v>403</v>
      </c>
      <c r="D88" s="23">
        <v>3000</v>
      </c>
    </row>
    <row r="89" spans="1:4">
      <c r="A89" s="16">
        <v>45947</v>
      </c>
      <c r="B89" s="50" t="s">
        <v>406</v>
      </c>
      <c r="C89" s="7" t="s">
        <v>407</v>
      </c>
      <c r="D89" s="23">
        <v>9900</v>
      </c>
    </row>
    <row r="90" spans="1:4">
      <c r="A90" s="16">
        <v>45957</v>
      </c>
      <c r="B90" s="50" t="s">
        <v>408</v>
      </c>
      <c r="C90" s="7" t="s">
        <v>409</v>
      </c>
      <c r="D90" s="23">
        <v>39000</v>
      </c>
    </row>
    <row r="91" spans="1:4">
      <c r="A91" s="16">
        <v>45933</v>
      </c>
      <c r="B91" s="97" t="s">
        <v>414</v>
      </c>
      <c r="C91" s="99" t="s">
        <v>415</v>
      </c>
      <c r="D91" s="116">
        <v>8446.5</v>
      </c>
    </row>
    <row r="92" spans="1:4">
      <c r="A92" s="16">
        <v>45961</v>
      </c>
      <c r="B92" s="98"/>
      <c r="C92" s="100"/>
      <c r="D92" s="117"/>
    </row>
    <row r="93" spans="1:4">
      <c r="A93" s="16">
        <v>45960</v>
      </c>
      <c r="B93" s="50" t="s">
        <v>416</v>
      </c>
      <c r="C93" s="7" t="s">
        <v>417</v>
      </c>
      <c r="D93" s="23">
        <v>34500</v>
      </c>
    </row>
    <row r="94" spans="1:4">
      <c r="A94" s="16">
        <v>45943</v>
      </c>
      <c r="B94" s="50" t="s">
        <v>446</v>
      </c>
      <c r="C94" s="7" t="s">
        <v>447</v>
      </c>
      <c r="D94" s="23">
        <v>10700</v>
      </c>
    </row>
    <row r="95" spans="1:4">
      <c r="A95" s="16">
        <v>45960</v>
      </c>
      <c r="B95" s="50" t="s">
        <v>458</v>
      </c>
      <c r="C95" s="7" t="s">
        <v>459</v>
      </c>
      <c r="D95" s="23">
        <v>20580</v>
      </c>
    </row>
    <row r="96" spans="1:4">
      <c r="A96" s="16">
        <v>45937</v>
      </c>
      <c r="B96" s="97" t="s">
        <v>464</v>
      </c>
      <c r="C96" s="99" t="s">
        <v>465</v>
      </c>
      <c r="D96" s="116">
        <v>28350</v>
      </c>
    </row>
    <row r="97" spans="1:4">
      <c r="A97" s="16">
        <v>45959</v>
      </c>
      <c r="B97" s="98"/>
      <c r="C97" s="100"/>
      <c r="D97" s="117"/>
    </row>
    <row r="98" spans="1:4">
      <c r="A98" s="16">
        <v>45937</v>
      </c>
      <c r="B98" s="97" t="s">
        <v>483</v>
      </c>
      <c r="C98" s="99" t="s">
        <v>484</v>
      </c>
      <c r="D98" s="116">
        <v>89040</v>
      </c>
    </row>
    <row r="99" spans="1:4">
      <c r="A99" s="16">
        <v>45955</v>
      </c>
      <c r="B99" s="98"/>
      <c r="C99" s="100"/>
      <c r="D99" s="117"/>
    </row>
    <row r="100" spans="1:4">
      <c r="A100" s="16">
        <v>45936</v>
      </c>
      <c r="B100" s="50" t="s">
        <v>493</v>
      </c>
      <c r="C100" s="7"/>
      <c r="D100" s="23">
        <v>4410</v>
      </c>
    </row>
    <row r="101" spans="1:4">
      <c r="A101" s="16">
        <v>45944</v>
      </c>
      <c r="B101" s="50" t="s">
        <v>494</v>
      </c>
      <c r="C101" s="7"/>
      <c r="D101" s="23">
        <v>1442</v>
      </c>
    </row>
    <row r="102" spans="1:4">
      <c r="A102" s="16">
        <v>45943</v>
      </c>
      <c r="B102" s="50" t="s">
        <v>510</v>
      </c>
      <c r="C102" s="7" t="s">
        <v>511</v>
      </c>
      <c r="D102" s="23">
        <v>2513</v>
      </c>
    </row>
    <row r="103" spans="1:4">
      <c r="A103" s="16">
        <v>45934</v>
      </c>
      <c r="B103" s="50" t="s">
        <v>528</v>
      </c>
      <c r="C103" s="7" t="s">
        <v>529</v>
      </c>
      <c r="D103" s="23">
        <v>23400</v>
      </c>
    </row>
    <row r="104" spans="1:4">
      <c r="A104" s="16">
        <v>45947</v>
      </c>
      <c r="B104" s="50" t="s">
        <v>542</v>
      </c>
      <c r="C104" s="7"/>
      <c r="D104" s="23">
        <v>2140.5</v>
      </c>
    </row>
    <row r="105" spans="1:4">
      <c r="A105" s="16">
        <v>45946</v>
      </c>
      <c r="B105" s="50" t="s">
        <v>545</v>
      </c>
      <c r="C105" s="7" t="s">
        <v>546</v>
      </c>
      <c r="D105" s="23">
        <v>4400</v>
      </c>
    </row>
    <row r="106" spans="1:4">
      <c r="A106" s="16">
        <v>45931</v>
      </c>
      <c r="B106" s="97" t="s">
        <v>552</v>
      </c>
      <c r="C106" s="99" t="s">
        <v>553</v>
      </c>
      <c r="D106" s="116">
        <v>71100</v>
      </c>
    </row>
    <row r="107" spans="1:4">
      <c r="A107" s="16">
        <v>45936</v>
      </c>
      <c r="B107" s="101"/>
      <c r="C107" s="102"/>
      <c r="D107" s="118"/>
    </row>
    <row r="108" spans="1:4">
      <c r="A108" s="16">
        <v>45953</v>
      </c>
      <c r="B108" s="101"/>
      <c r="C108" s="102"/>
      <c r="D108" s="118"/>
    </row>
    <row r="109" spans="1:4">
      <c r="A109" s="16">
        <v>45954</v>
      </c>
      <c r="B109" s="98"/>
      <c r="C109" s="100"/>
      <c r="D109" s="117"/>
    </row>
    <row r="110" spans="1:4">
      <c r="A110" s="16">
        <v>45934</v>
      </c>
      <c r="B110" s="50" t="s">
        <v>556</v>
      </c>
      <c r="C110" s="7" t="s">
        <v>557</v>
      </c>
      <c r="D110" s="23">
        <v>12000</v>
      </c>
    </row>
    <row r="111" spans="1:4">
      <c r="A111" s="16">
        <v>45931</v>
      </c>
      <c r="B111" s="97" t="s">
        <v>558</v>
      </c>
      <c r="C111" s="99" t="s">
        <v>559</v>
      </c>
      <c r="D111" s="116">
        <v>2200</v>
      </c>
    </row>
    <row r="112" spans="1:4">
      <c r="A112" s="16">
        <v>45933</v>
      </c>
      <c r="B112" s="98"/>
      <c r="C112" s="100"/>
      <c r="D112" s="117"/>
    </row>
    <row r="113" spans="1:4">
      <c r="A113" s="16">
        <v>45947</v>
      </c>
      <c r="B113" s="50" t="s">
        <v>570</v>
      </c>
      <c r="C113" s="7" t="s">
        <v>571</v>
      </c>
      <c r="D113" s="23">
        <v>48100</v>
      </c>
    </row>
    <row r="114" spans="1:4">
      <c r="A114" s="16">
        <v>45960</v>
      </c>
      <c r="B114" s="50" t="s">
        <v>574</v>
      </c>
      <c r="C114" s="7" t="s">
        <v>575</v>
      </c>
      <c r="D114" s="23">
        <v>74100</v>
      </c>
    </row>
    <row r="115" spans="1:4">
      <c r="A115" s="16">
        <v>45936</v>
      </c>
      <c r="B115" s="50" t="s">
        <v>590</v>
      </c>
      <c r="C115" s="7" t="s">
        <v>591</v>
      </c>
      <c r="D115" s="23">
        <v>7800</v>
      </c>
    </row>
    <row r="116" spans="1:4">
      <c r="A116" s="16">
        <v>45943</v>
      </c>
      <c r="B116" s="50" t="s">
        <v>608</v>
      </c>
      <c r="C116" s="7" t="s">
        <v>609</v>
      </c>
      <c r="D116" s="23">
        <v>480</v>
      </c>
    </row>
    <row r="117" spans="1:4">
      <c r="A117" s="16">
        <v>45953</v>
      </c>
      <c r="B117" s="50" t="s">
        <v>614</v>
      </c>
      <c r="C117" s="7" t="s">
        <v>615</v>
      </c>
      <c r="D117" s="23">
        <v>9800</v>
      </c>
    </row>
    <row r="118" spans="1:4">
      <c r="A118" s="16">
        <v>45948</v>
      </c>
      <c r="B118" s="50" t="s">
        <v>627</v>
      </c>
      <c r="C118" s="7" t="s">
        <v>628</v>
      </c>
      <c r="D118" s="23">
        <v>17000</v>
      </c>
    </row>
    <row r="119" spans="1:4">
      <c r="A119" s="16">
        <v>45954</v>
      </c>
      <c r="B119" s="50" t="s">
        <v>647</v>
      </c>
      <c r="C119" s="7" t="s">
        <v>648</v>
      </c>
      <c r="D119" s="23">
        <v>25760</v>
      </c>
    </row>
    <row r="120" spans="1:4">
      <c r="A120" s="16">
        <v>45958</v>
      </c>
      <c r="B120" s="50" t="s">
        <v>653</v>
      </c>
      <c r="C120" s="7" t="s">
        <v>654</v>
      </c>
      <c r="D120" s="23">
        <v>885</v>
      </c>
    </row>
    <row r="121" spans="1:4">
      <c r="A121" s="16">
        <v>45933</v>
      </c>
      <c r="B121" s="97" t="s">
        <v>655</v>
      </c>
      <c r="C121" s="99" t="s">
        <v>656</v>
      </c>
      <c r="D121" s="116">
        <v>58950</v>
      </c>
    </row>
    <row r="122" spans="1:4">
      <c r="A122" s="16">
        <v>45937</v>
      </c>
      <c r="B122" s="101"/>
      <c r="C122" s="102"/>
      <c r="D122" s="118"/>
    </row>
    <row r="123" spans="1:4">
      <c r="A123" s="16">
        <v>45941</v>
      </c>
      <c r="B123" s="101"/>
      <c r="C123" s="102"/>
      <c r="D123" s="118"/>
    </row>
    <row r="124" spans="1:4">
      <c r="A124" s="16">
        <v>45945</v>
      </c>
      <c r="B124" s="101"/>
      <c r="C124" s="102"/>
      <c r="D124" s="118"/>
    </row>
    <row r="125" spans="1:4">
      <c r="A125" s="16">
        <v>45947</v>
      </c>
      <c r="B125" s="98"/>
      <c r="C125" s="100"/>
      <c r="D125" s="117"/>
    </row>
    <row r="126" spans="1:4">
      <c r="A126" s="16">
        <v>45946</v>
      </c>
      <c r="B126" s="50" t="s">
        <v>658</v>
      </c>
      <c r="C126" s="7" t="s">
        <v>659</v>
      </c>
      <c r="D126" s="23">
        <v>3150</v>
      </c>
    </row>
    <row r="127" spans="1:4">
      <c r="A127" s="16">
        <v>45943</v>
      </c>
      <c r="B127" s="50" t="s">
        <v>684</v>
      </c>
      <c r="C127" s="7"/>
      <c r="D127" s="23">
        <v>450</v>
      </c>
    </row>
    <row r="128" spans="1:4">
      <c r="A128" s="16">
        <v>45958</v>
      </c>
      <c r="B128" s="50" t="s">
        <v>687</v>
      </c>
      <c r="C128" s="7" t="s">
        <v>688</v>
      </c>
      <c r="D128" s="23">
        <v>3900</v>
      </c>
    </row>
    <row r="129" spans="1:4">
      <c r="A129" s="16">
        <v>45938</v>
      </c>
      <c r="B129" s="97" t="s">
        <v>693</v>
      </c>
      <c r="C129" s="99" t="s">
        <v>694</v>
      </c>
      <c r="D129" s="116">
        <v>27400</v>
      </c>
    </row>
    <row r="130" spans="1:4">
      <c r="A130" s="16">
        <v>45939</v>
      </c>
      <c r="B130" s="101"/>
      <c r="C130" s="102"/>
      <c r="D130" s="118"/>
    </row>
    <row r="131" spans="1:4">
      <c r="A131" s="16">
        <v>45945</v>
      </c>
      <c r="B131" s="98"/>
      <c r="C131" s="100"/>
      <c r="D131" s="117"/>
    </row>
    <row r="132" spans="1:4">
      <c r="A132" s="16">
        <v>45940</v>
      </c>
      <c r="B132" s="50" t="s">
        <v>699</v>
      </c>
      <c r="C132" s="7"/>
      <c r="D132" s="23">
        <v>1470</v>
      </c>
    </row>
    <row r="133" spans="1:4">
      <c r="A133" s="16">
        <v>45955</v>
      </c>
      <c r="B133" s="50" t="s">
        <v>703</v>
      </c>
      <c r="C133" s="7" t="s">
        <v>704</v>
      </c>
      <c r="D133" s="23">
        <v>17160</v>
      </c>
    </row>
    <row r="134" spans="1:4">
      <c r="A134" s="16">
        <v>45937</v>
      </c>
      <c r="B134" s="50" t="s">
        <v>714</v>
      </c>
      <c r="C134" s="7" t="s">
        <v>715</v>
      </c>
      <c r="D134" s="23">
        <v>6060</v>
      </c>
    </row>
    <row r="135" spans="1:4">
      <c r="A135" s="16">
        <v>45960</v>
      </c>
      <c r="B135" s="50" t="s">
        <v>760</v>
      </c>
      <c r="C135" s="7" t="s">
        <v>761</v>
      </c>
      <c r="D135" s="23">
        <v>58215</v>
      </c>
    </row>
    <row r="136" spans="1:4">
      <c r="A136" s="16">
        <v>45937</v>
      </c>
      <c r="B136" s="97" t="s">
        <v>764</v>
      </c>
      <c r="C136" s="99" t="s">
        <v>765</v>
      </c>
      <c r="D136" s="116">
        <v>72160</v>
      </c>
    </row>
    <row r="137" spans="1:4">
      <c r="A137" s="16">
        <v>45952</v>
      </c>
      <c r="B137" s="101"/>
      <c r="C137" s="102"/>
      <c r="D137" s="118"/>
    </row>
    <row r="138" spans="1:4">
      <c r="A138" s="16">
        <v>45960</v>
      </c>
      <c r="B138" s="98"/>
      <c r="C138" s="100"/>
      <c r="D138" s="117"/>
    </row>
    <row r="139" spans="1:4">
      <c r="A139" s="16">
        <v>45934</v>
      </c>
      <c r="B139" s="97" t="s">
        <v>776</v>
      </c>
      <c r="C139" s="99" t="s">
        <v>777</v>
      </c>
      <c r="D139" s="116">
        <v>89735</v>
      </c>
    </row>
    <row r="140" spans="1:4">
      <c r="A140" s="16">
        <v>45936</v>
      </c>
      <c r="B140" s="101"/>
      <c r="C140" s="102"/>
      <c r="D140" s="118"/>
    </row>
    <row r="141" spans="1:4">
      <c r="A141" s="16">
        <v>45958</v>
      </c>
      <c r="B141" s="98"/>
      <c r="C141" s="100"/>
      <c r="D141" s="117"/>
    </row>
    <row r="142" spans="1:4">
      <c r="A142" s="16">
        <v>45951</v>
      </c>
      <c r="B142" s="50" t="s">
        <v>786</v>
      </c>
      <c r="C142" s="7" t="s">
        <v>787</v>
      </c>
      <c r="D142" s="23">
        <v>4350</v>
      </c>
    </row>
    <row r="143" spans="1:4">
      <c r="A143" s="16">
        <v>45938</v>
      </c>
      <c r="B143" s="97" t="s">
        <v>823</v>
      </c>
      <c r="C143" s="99" t="s">
        <v>824</v>
      </c>
      <c r="D143" s="116">
        <v>17005</v>
      </c>
    </row>
    <row r="144" spans="1:4">
      <c r="A144" s="16">
        <v>45941</v>
      </c>
      <c r="B144" s="101"/>
      <c r="C144" s="102"/>
      <c r="D144" s="118"/>
    </row>
    <row r="145" spans="1:4">
      <c r="A145" s="16">
        <v>45946</v>
      </c>
      <c r="B145" s="101"/>
      <c r="C145" s="102"/>
      <c r="D145" s="118"/>
    </row>
    <row r="146" spans="1:4">
      <c r="A146" s="16">
        <v>45955</v>
      </c>
      <c r="B146" s="101"/>
      <c r="C146" s="102"/>
      <c r="D146" s="118"/>
    </row>
    <row r="147" spans="1:4">
      <c r="A147" s="16">
        <v>45959</v>
      </c>
      <c r="B147" s="98"/>
      <c r="C147" s="100"/>
      <c r="D147" s="117"/>
    </row>
    <row r="148" spans="1:4">
      <c r="A148" s="16">
        <v>45936</v>
      </c>
      <c r="B148" s="97" t="s">
        <v>838</v>
      </c>
      <c r="C148" s="99" t="s">
        <v>839</v>
      </c>
      <c r="D148" s="116">
        <v>6240</v>
      </c>
    </row>
    <row r="149" spans="1:4">
      <c r="A149" s="16">
        <v>45947</v>
      </c>
      <c r="B149" s="98"/>
      <c r="C149" s="100"/>
      <c r="D149" s="117"/>
    </row>
    <row r="150" spans="1:4">
      <c r="A150" s="16">
        <v>45941</v>
      </c>
      <c r="B150" s="50" t="s">
        <v>840</v>
      </c>
      <c r="C150" s="7"/>
      <c r="D150" s="23">
        <v>2800</v>
      </c>
    </row>
    <row r="151" spans="1:4">
      <c r="A151" s="16">
        <v>45955</v>
      </c>
      <c r="B151" s="97" t="s">
        <v>845</v>
      </c>
      <c r="C151" s="99" t="s">
        <v>846</v>
      </c>
      <c r="D151" s="116">
        <v>21515</v>
      </c>
    </row>
    <row r="152" spans="1:4">
      <c r="A152" s="16">
        <v>45959</v>
      </c>
      <c r="B152" s="98"/>
      <c r="C152" s="100"/>
      <c r="D152" s="117"/>
    </row>
    <row r="153" spans="1:4">
      <c r="A153" s="16">
        <v>45947</v>
      </c>
      <c r="B153" s="50" t="s">
        <v>851</v>
      </c>
      <c r="C153" s="7"/>
      <c r="D153" s="23">
        <v>1950</v>
      </c>
    </row>
    <row r="154" spans="1:4">
      <c r="A154" s="16">
        <v>45939</v>
      </c>
      <c r="B154" s="50" t="s">
        <v>855</v>
      </c>
      <c r="C154" s="7" t="s">
        <v>856</v>
      </c>
      <c r="D154" s="23">
        <v>2320</v>
      </c>
    </row>
    <row r="155" spans="1:4">
      <c r="A155" s="16">
        <v>45952</v>
      </c>
      <c r="B155" s="50" t="s">
        <v>857</v>
      </c>
      <c r="C155" s="7"/>
      <c r="D155" s="23">
        <v>1540</v>
      </c>
    </row>
    <row r="156" spans="1:4">
      <c r="A156" s="16">
        <v>45931</v>
      </c>
      <c r="B156" s="50" t="s">
        <v>858</v>
      </c>
      <c r="C156" s="7" t="s">
        <v>859</v>
      </c>
      <c r="D156" s="23">
        <v>24750</v>
      </c>
    </row>
    <row r="157" spans="1:4">
      <c r="A157" s="16">
        <v>45948</v>
      </c>
      <c r="B157" s="50" t="s">
        <v>862</v>
      </c>
      <c r="C157" s="7" t="s">
        <v>863</v>
      </c>
      <c r="D157" s="23">
        <v>19500</v>
      </c>
    </row>
    <row r="158" spans="1:4">
      <c r="A158" s="16">
        <v>45954</v>
      </c>
      <c r="B158" s="50" t="s">
        <v>890</v>
      </c>
      <c r="C158" s="7"/>
      <c r="D158" s="23">
        <v>8843</v>
      </c>
    </row>
    <row r="159" spans="1:4">
      <c r="A159" s="16">
        <v>45944</v>
      </c>
      <c r="B159" s="50" t="s">
        <v>892</v>
      </c>
      <c r="C159" s="7" t="s">
        <v>893</v>
      </c>
      <c r="D159" s="23">
        <v>3120</v>
      </c>
    </row>
    <row r="160" spans="1:4">
      <c r="A160" s="16">
        <v>45939</v>
      </c>
      <c r="B160" s="50" t="s">
        <v>898</v>
      </c>
      <c r="C160" s="7" t="s">
        <v>899</v>
      </c>
      <c r="D160" s="23">
        <v>5475</v>
      </c>
    </row>
    <row r="161" spans="1:4">
      <c r="A161" s="16">
        <v>45931</v>
      </c>
      <c r="B161" s="97" t="s">
        <v>904</v>
      </c>
      <c r="C161" s="99" t="s">
        <v>905</v>
      </c>
      <c r="D161" s="116">
        <v>24750</v>
      </c>
    </row>
    <row r="162" spans="1:4">
      <c r="A162" s="16">
        <v>45933</v>
      </c>
      <c r="B162" s="98"/>
      <c r="C162" s="100"/>
      <c r="D162" s="117"/>
    </row>
    <row r="163" spans="1:4">
      <c r="A163" s="17"/>
      <c r="B163" s="18" t="s">
        <v>918</v>
      </c>
      <c r="C163" s="7"/>
      <c r="D163" s="44">
        <f>SUM(D4:D162)</f>
        <v>3257691.13</v>
      </c>
    </row>
  </sheetData>
  <sortState xmlns:xlrd2="http://schemas.microsoft.com/office/spreadsheetml/2017/richdata2" ref="A4:C162">
    <sortCondition ref="B4:B162"/>
  </sortState>
  <mergeCells count="92">
    <mergeCell ref="A1:B1"/>
    <mergeCell ref="A2:B2"/>
    <mergeCell ref="B8:B10"/>
    <mergeCell ref="C8:C10"/>
    <mergeCell ref="D8:D10"/>
    <mergeCell ref="B11:B14"/>
    <mergeCell ref="C11:C14"/>
    <mergeCell ref="D11:D14"/>
    <mergeCell ref="B19:B20"/>
    <mergeCell ref="C19:C20"/>
    <mergeCell ref="D19:D20"/>
    <mergeCell ref="B21:B23"/>
    <mergeCell ref="C21:C23"/>
    <mergeCell ref="D21:D23"/>
    <mergeCell ref="B24:B28"/>
    <mergeCell ref="C24:C28"/>
    <mergeCell ref="D24:D28"/>
    <mergeCell ref="B29:B31"/>
    <mergeCell ref="C29:C31"/>
    <mergeCell ref="D29:D31"/>
    <mergeCell ref="B32:B35"/>
    <mergeCell ref="C32:C35"/>
    <mergeCell ref="D32:D35"/>
    <mergeCell ref="B37:B38"/>
    <mergeCell ref="C37:C38"/>
    <mergeCell ref="D37:D38"/>
    <mergeCell ref="B40:B41"/>
    <mergeCell ref="C40:C41"/>
    <mergeCell ref="D40:D41"/>
    <mergeCell ref="B45:B46"/>
    <mergeCell ref="C45:C46"/>
    <mergeCell ref="D45:D46"/>
    <mergeCell ref="B54:B56"/>
    <mergeCell ref="C54:C56"/>
    <mergeCell ref="D54:D56"/>
    <mergeCell ref="B58:B60"/>
    <mergeCell ref="C58:C60"/>
    <mergeCell ref="D58:D60"/>
    <mergeCell ref="B68:B69"/>
    <mergeCell ref="C68:C69"/>
    <mergeCell ref="D68:D69"/>
    <mergeCell ref="B70:B78"/>
    <mergeCell ref="C70:C78"/>
    <mergeCell ref="D70:D78"/>
    <mergeCell ref="B79:B80"/>
    <mergeCell ref="C79:C80"/>
    <mergeCell ref="D79:D80"/>
    <mergeCell ref="B83:B84"/>
    <mergeCell ref="C83:C84"/>
    <mergeCell ref="D83:D84"/>
    <mergeCell ref="B86:B87"/>
    <mergeCell ref="C86:C87"/>
    <mergeCell ref="D86:D87"/>
    <mergeCell ref="B91:B92"/>
    <mergeCell ref="C91:C92"/>
    <mergeCell ref="D91:D92"/>
    <mergeCell ref="B96:B97"/>
    <mergeCell ref="C96:C97"/>
    <mergeCell ref="D96:D97"/>
    <mergeCell ref="B98:B99"/>
    <mergeCell ref="C98:C99"/>
    <mergeCell ref="D98:D99"/>
    <mergeCell ref="B106:B109"/>
    <mergeCell ref="C106:C109"/>
    <mergeCell ref="D106:D109"/>
    <mergeCell ref="B111:B112"/>
    <mergeCell ref="C111:C112"/>
    <mergeCell ref="D111:D112"/>
    <mergeCell ref="B121:B125"/>
    <mergeCell ref="C121:C125"/>
    <mergeCell ref="D121:D125"/>
    <mergeCell ref="B129:B131"/>
    <mergeCell ref="C129:C131"/>
    <mergeCell ref="D129:D131"/>
    <mergeCell ref="B136:B138"/>
    <mergeCell ref="C136:C138"/>
    <mergeCell ref="D136:D138"/>
    <mergeCell ref="B139:B141"/>
    <mergeCell ref="C139:C141"/>
    <mergeCell ref="D139:D141"/>
    <mergeCell ref="B143:B147"/>
    <mergeCell ref="C143:C147"/>
    <mergeCell ref="D143:D147"/>
    <mergeCell ref="B161:B162"/>
    <mergeCell ref="C161:C162"/>
    <mergeCell ref="D161:D162"/>
    <mergeCell ref="B148:B149"/>
    <mergeCell ref="C148:C149"/>
    <mergeCell ref="D148:D149"/>
    <mergeCell ref="B151:B152"/>
    <mergeCell ref="C151:C152"/>
    <mergeCell ref="D151:D15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7D00A-1C3F-6E43-B357-857655E1E73D}">
  <dimension ref="A1:D209"/>
  <sheetViews>
    <sheetView topLeftCell="A187" workbookViewId="0">
      <selection activeCell="B4" sqref="B4"/>
    </sheetView>
  </sheetViews>
  <sheetFormatPr defaultColWidth="8.85546875" defaultRowHeight="15"/>
  <cols>
    <col min="1" max="1" width="10.7109375" style="1" customWidth="1"/>
    <col min="2" max="2" width="53.7109375" style="1" customWidth="1"/>
    <col min="3" max="3" width="18.7109375" style="1" customWidth="1"/>
    <col min="4" max="4" width="13.7109375" style="27" customWidth="1"/>
    <col min="5" max="16384" width="8.85546875" style="1"/>
  </cols>
  <sheetData>
    <row r="1" spans="1:4" ht="15.75">
      <c r="A1" s="84" t="s">
        <v>912</v>
      </c>
      <c r="B1" s="84"/>
      <c r="C1" s="12"/>
      <c r="D1" s="24"/>
    </row>
    <row r="2" spans="1:4">
      <c r="A2" s="85" t="s">
        <v>931</v>
      </c>
      <c r="B2" s="85"/>
      <c r="C2" s="12"/>
      <c r="D2" s="24"/>
    </row>
    <row r="3" spans="1:4">
      <c r="A3" s="14" t="s">
        <v>914</v>
      </c>
      <c r="B3" s="15" t="s">
        <v>1</v>
      </c>
      <c r="C3" s="14" t="s">
        <v>2</v>
      </c>
      <c r="D3" s="24" t="s">
        <v>915</v>
      </c>
    </row>
    <row r="4" spans="1:4">
      <c r="A4" s="16">
        <v>45981</v>
      </c>
      <c r="B4" s="50" t="s">
        <v>26</v>
      </c>
      <c r="C4" s="7" t="s">
        <v>27</v>
      </c>
      <c r="D4" s="23">
        <v>87000</v>
      </c>
    </row>
    <row r="5" spans="1:4">
      <c r="A5" s="16">
        <v>45982</v>
      </c>
      <c r="B5" s="50" t="s">
        <v>36</v>
      </c>
      <c r="C5" s="7"/>
      <c r="D5" s="23">
        <v>7000</v>
      </c>
    </row>
    <row r="6" spans="1:4">
      <c r="A6" s="16">
        <v>45964</v>
      </c>
      <c r="B6" s="103" t="s">
        <v>37</v>
      </c>
      <c r="C6" s="85" t="s">
        <v>38</v>
      </c>
      <c r="D6" s="119">
        <v>69460</v>
      </c>
    </row>
    <row r="7" spans="1:4">
      <c r="A7" s="16">
        <v>45969</v>
      </c>
      <c r="B7" s="103"/>
      <c r="C7" s="85"/>
      <c r="D7" s="119"/>
    </row>
    <row r="8" spans="1:4">
      <c r="A8" s="16">
        <v>45981</v>
      </c>
      <c r="B8" s="103"/>
      <c r="C8" s="85"/>
      <c r="D8" s="119"/>
    </row>
    <row r="9" spans="1:4">
      <c r="A9" s="16">
        <v>45982</v>
      </c>
      <c r="B9" s="103"/>
      <c r="C9" s="85"/>
      <c r="D9" s="119"/>
    </row>
    <row r="10" spans="1:4">
      <c r="A10" s="16">
        <v>45983</v>
      </c>
      <c r="B10" s="103"/>
      <c r="C10" s="85"/>
      <c r="D10" s="119"/>
    </row>
    <row r="11" spans="1:4">
      <c r="A11" s="16">
        <v>45981</v>
      </c>
      <c r="B11" s="103" t="s">
        <v>50</v>
      </c>
      <c r="C11" s="85" t="s">
        <v>51</v>
      </c>
      <c r="D11" s="119">
        <v>54800</v>
      </c>
    </row>
    <row r="12" spans="1:4">
      <c r="A12" s="16">
        <v>45989</v>
      </c>
      <c r="B12" s="103"/>
      <c r="C12" s="85"/>
      <c r="D12" s="119"/>
    </row>
    <row r="13" spans="1:4">
      <c r="A13" s="16">
        <v>45976</v>
      </c>
      <c r="B13" s="103" t="s">
        <v>52</v>
      </c>
      <c r="C13" s="85"/>
      <c r="D13" s="119">
        <v>27080</v>
      </c>
    </row>
    <row r="14" spans="1:4">
      <c r="A14" s="16">
        <v>45986</v>
      </c>
      <c r="B14" s="103"/>
      <c r="C14" s="85"/>
      <c r="D14" s="119"/>
    </row>
    <row r="15" spans="1:4">
      <c r="A15" s="16">
        <v>45967</v>
      </c>
      <c r="B15" s="50" t="s">
        <v>56</v>
      </c>
      <c r="C15" s="7" t="s">
        <v>57</v>
      </c>
      <c r="D15" s="23">
        <v>500</v>
      </c>
    </row>
    <row r="16" spans="1:4">
      <c r="A16" s="16">
        <v>45974</v>
      </c>
      <c r="B16" s="50" t="s">
        <v>61</v>
      </c>
      <c r="C16" s="7"/>
      <c r="D16" s="23">
        <v>18000</v>
      </c>
    </row>
    <row r="17" spans="1:4">
      <c r="A17" s="16">
        <v>45973</v>
      </c>
      <c r="B17" s="50" t="s">
        <v>66</v>
      </c>
      <c r="C17" s="7"/>
      <c r="D17" s="23">
        <v>34760</v>
      </c>
    </row>
    <row r="18" spans="1:4">
      <c r="A18" s="16">
        <v>45965</v>
      </c>
      <c r="B18" s="103" t="s">
        <v>73</v>
      </c>
      <c r="C18" s="85" t="s">
        <v>74</v>
      </c>
      <c r="D18" s="119">
        <v>21500</v>
      </c>
    </row>
    <row r="19" spans="1:4">
      <c r="A19" s="16">
        <v>45968</v>
      </c>
      <c r="B19" s="103"/>
      <c r="C19" s="85"/>
      <c r="D19" s="119"/>
    </row>
    <row r="20" spans="1:4">
      <c r="A20" s="16">
        <v>45975</v>
      </c>
      <c r="B20" s="103"/>
      <c r="C20" s="85"/>
      <c r="D20" s="119"/>
    </row>
    <row r="21" spans="1:4">
      <c r="A21" s="16">
        <v>45973</v>
      </c>
      <c r="B21" s="50" t="s">
        <v>84</v>
      </c>
      <c r="C21" s="7" t="s">
        <v>85</v>
      </c>
      <c r="D21" s="23">
        <v>3500</v>
      </c>
    </row>
    <row r="22" spans="1:4">
      <c r="A22" s="16">
        <v>45988</v>
      </c>
      <c r="B22" s="50" t="s">
        <v>88</v>
      </c>
      <c r="C22" s="7" t="s">
        <v>89</v>
      </c>
      <c r="D22" s="23">
        <v>13200</v>
      </c>
    </row>
    <row r="23" spans="1:4">
      <c r="A23" s="16">
        <v>45973</v>
      </c>
      <c r="B23" s="50" t="s">
        <v>91</v>
      </c>
      <c r="C23" s="7" t="s">
        <v>92</v>
      </c>
      <c r="D23" s="23">
        <v>18000</v>
      </c>
    </row>
    <row r="24" spans="1:4">
      <c r="A24" s="16">
        <v>45982</v>
      </c>
      <c r="B24" s="50" t="s">
        <v>105</v>
      </c>
      <c r="C24" s="7"/>
      <c r="D24" s="23">
        <v>818780</v>
      </c>
    </row>
    <row r="25" spans="1:4">
      <c r="A25" s="16">
        <v>45962</v>
      </c>
      <c r="B25" s="103" t="s">
        <v>108</v>
      </c>
      <c r="C25" s="85" t="s">
        <v>109</v>
      </c>
      <c r="D25" s="119">
        <v>370625</v>
      </c>
    </row>
    <row r="26" spans="1:4">
      <c r="A26" s="16">
        <v>45965</v>
      </c>
      <c r="B26" s="103"/>
      <c r="C26" s="85"/>
      <c r="D26" s="119"/>
    </row>
    <row r="27" spans="1:4">
      <c r="A27" s="16">
        <v>45968</v>
      </c>
      <c r="B27" s="103"/>
      <c r="C27" s="85"/>
      <c r="D27" s="119"/>
    </row>
    <row r="28" spans="1:4">
      <c r="A28" s="16">
        <v>45969</v>
      </c>
      <c r="B28" s="103"/>
      <c r="C28" s="85"/>
      <c r="D28" s="119"/>
    </row>
    <row r="29" spans="1:4">
      <c r="A29" s="16">
        <v>45974</v>
      </c>
      <c r="B29" s="103"/>
      <c r="C29" s="85"/>
      <c r="D29" s="119"/>
    </row>
    <row r="30" spans="1:4">
      <c r="A30" s="16">
        <v>45975</v>
      </c>
      <c r="B30" s="103"/>
      <c r="C30" s="85"/>
      <c r="D30" s="119"/>
    </row>
    <row r="31" spans="1:4">
      <c r="A31" s="16">
        <v>45976</v>
      </c>
      <c r="B31" s="103"/>
      <c r="C31" s="85"/>
      <c r="D31" s="119"/>
    </row>
    <row r="32" spans="1:4">
      <c r="A32" s="16">
        <v>45981</v>
      </c>
      <c r="B32" s="103"/>
      <c r="C32" s="85"/>
      <c r="D32" s="119"/>
    </row>
    <row r="33" spans="1:4">
      <c r="A33" s="16">
        <v>45988</v>
      </c>
      <c r="B33" s="103"/>
      <c r="C33" s="85"/>
      <c r="D33" s="119"/>
    </row>
    <row r="34" spans="1:4">
      <c r="A34" s="16">
        <v>45989</v>
      </c>
      <c r="B34" s="103"/>
      <c r="C34" s="85"/>
      <c r="D34" s="119"/>
    </row>
    <row r="35" spans="1:4">
      <c r="A35" s="16">
        <v>45965</v>
      </c>
      <c r="B35" s="50" t="s">
        <v>110</v>
      </c>
      <c r="C35" s="7" t="s">
        <v>111</v>
      </c>
      <c r="D35" s="23">
        <v>57500</v>
      </c>
    </row>
    <row r="36" spans="1:4">
      <c r="A36" s="16">
        <v>45972</v>
      </c>
      <c r="B36" s="103" t="s">
        <v>136</v>
      </c>
      <c r="C36" s="85" t="s">
        <v>137</v>
      </c>
      <c r="D36" s="119">
        <v>92205</v>
      </c>
    </row>
    <row r="37" spans="1:4">
      <c r="A37" s="16">
        <v>45975</v>
      </c>
      <c r="B37" s="103"/>
      <c r="C37" s="85"/>
      <c r="D37" s="119"/>
    </row>
    <row r="38" spans="1:4">
      <c r="A38" s="16">
        <v>45976</v>
      </c>
      <c r="B38" s="103"/>
      <c r="C38" s="85"/>
      <c r="D38" s="119"/>
    </row>
    <row r="39" spans="1:4">
      <c r="A39" s="16">
        <v>45966</v>
      </c>
      <c r="B39" s="50" t="s">
        <v>138</v>
      </c>
      <c r="C39" s="7" t="s">
        <v>139</v>
      </c>
      <c r="D39" s="23">
        <v>20100</v>
      </c>
    </row>
    <row r="40" spans="1:4">
      <c r="A40" s="16">
        <v>45965</v>
      </c>
      <c r="B40" s="103" t="s">
        <v>145</v>
      </c>
      <c r="C40" s="85" t="s">
        <v>146</v>
      </c>
      <c r="D40" s="119">
        <v>284400</v>
      </c>
    </row>
    <row r="41" spans="1:4">
      <c r="A41" s="16">
        <v>45973</v>
      </c>
      <c r="B41" s="103"/>
      <c r="C41" s="85"/>
      <c r="D41" s="119"/>
    </row>
    <row r="42" spans="1:4">
      <c r="A42" s="16">
        <v>45967</v>
      </c>
      <c r="B42" s="103" t="s">
        <v>147</v>
      </c>
      <c r="C42" s="85" t="s">
        <v>148</v>
      </c>
      <c r="D42" s="119">
        <v>15008</v>
      </c>
    </row>
    <row r="43" spans="1:4">
      <c r="A43" s="16">
        <v>45990</v>
      </c>
      <c r="B43" s="103"/>
      <c r="C43" s="85"/>
      <c r="D43" s="119"/>
    </row>
    <row r="44" spans="1:4">
      <c r="A44" s="16">
        <v>45987</v>
      </c>
      <c r="B44" s="50" t="s">
        <v>155</v>
      </c>
      <c r="C44" s="7"/>
      <c r="D44" s="23">
        <v>2552</v>
      </c>
    </row>
    <row r="45" spans="1:4">
      <c r="A45" s="16">
        <v>45969</v>
      </c>
      <c r="B45" s="50" t="s">
        <v>168</v>
      </c>
      <c r="C45" s="7" t="s">
        <v>169</v>
      </c>
      <c r="D45" s="23">
        <v>2300</v>
      </c>
    </row>
    <row r="46" spans="1:4">
      <c r="A46" s="16">
        <v>45983</v>
      </c>
      <c r="B46" s="50" t="s">
        <v>171</v>
      </c>
      <c r="C46" s="7" t="s">
        <v>172</v>
      </c>
      <c r="D46" s="23">
        <v>7040</v>
      </c>
    </row>
    <row r="47" spans="1:4">
      <c r="A47" s="16">
        <v>45968</v>
      </c>
      <c r="B47" s="50" t="s">
        <v>930</v>
      </c>
      <c r="C47" s="7"/>
      <c r="D47" s="23">
        <v>1675</v>
      </c>
    </row>
    <row r="48" spans="1:4">
      <c r="A48" s="16">
        <v>45986</v>
      </c>
      <c r="B48" s="50" t="s">
        <v>182</v>
      </c>
      <c r="C48" s="7"/>
      <c r="D48" s="23">
        <v>500</v>
      </c>
    </row>
    <row r="49" spans="1:4">
      <c r="A49" s="16">
        <v>45978</v>
      </c>
      <c r="B49" s="50" t="s">
        <v>187</v>
      </c>
      <c r="C49" s="7" t="s">
        <v>188</v>
      </c>
      <c r="D49" s="23">
        <v>14550</v>
      </c>
    </row>
    <row r="50" spans="1:4">
      <c r="A50" s="16">
        <v>45973</v>
      </c>
      <c r="B50" s="50" t="s">
        <v>200</v>
      </c>
      <c r="C50" s="7" t="s">
        <v>201</v>
      </c>
      <c r="D50" s="23">
        <v>8400</v>
      </c>
    </row>
    <row r="51" spans="1:4">
      <c r="A51" s="16">
        <v>45962</v>
      </c>
      <c r="B51" s="50" t="s">
        <v>206</v>
      </c>
      <c r="C51" s="7" t="s">
        <v>207</v>
      </c>
      <c r="D51" s="23">
        <v>24700</v>
      </c>
    </row>
    <row r="52" spans="1:4">
      <c r="A52" s="16">
        <v>45981</v>
      </c>
      <c r="B52" s="50" t="s">
        <v>213</v>
      </c>
      <c r="C52" s="7" t="s">
        <v>214</v>
      </c>
      <c r="D52" s="23">
        <v>127600</v>
      </c>
    </row>
    <row r="53" spans="1:4">
      <c r="A53" s="16">
        <v>45987</v>
      </c>
      <c r="B53" s="50" t="s">
        <v>221</v>
      </c>
      <c r="C53" s="7"/>
      <c r="D53" s="23">
        <v>6700</v>
      </c>
    </row>
    <row r="54" spans="1:4">
      <c r="A54" s="16">
        <v>45976</v>
      </c>
      <c r="B54" s="103" t="s">
        <v>253</v>
      </c>
      <c r="C54" s="85" t="s">
        <v>254</v>
      </c>
      <c r="D54" s="119">
        <v>5401</v>
      </c>
    </row>
    <row r="55" spans="1:4">
      <c r="A55" s="16">
        <v>45976</v>
      </c>
      <c r="B55" s="103"/>
      <c r="C55" s="85"/>
      <c r="D55" s="119"/>
    </row>
    <row r="56" spans="1:4">
      <c r="A56" s="16">
        <v>45962</v>
      </c>
      <c r="B56" s="103" t="s">
        <v>258</v>
      </c>
      <c r="C56" s="85" t="s">
        <v>259</v>
      </c>
      <c r="D56" s="119">
        <v>50665</v>
      </c>
    </row>
    <row r="57" spans="1:4">
      <c r="A57" s="16">
        <v>45967</v>
      </c>
      <c r="B57" s="103"/>
      <c r="C57" s="85"/>
      <c r="D57" s="119"/>
    </row>
    <row r="58" spans="1:4">
      <c r="A58" s="16">
        <v>45981</v>
      </c>
      <c r="B58" s="103"/>
      <c r="C58" s="85"/>
      <c r="D58" s="119"/>
    </row>
    <row r="59" spans="1:4">
      <c r="A59" s="16">
        <v>45968</v>
      </c>
      <c r="B59" s="103" t="s">
        <v>266</v>
      </c>
      <c r="C59" s="85" t="s">
        <v>267</v>
      </c>
      <c r="D59" s="119">
        <v>23610</v>
      </c>
    </row>
    <row r="60" spans="1:4">
      <c r="A60" s="16">
        <v>45980</v>
      </c>
      <c r="B60" s="103"/>
      <c r="C60" s="85"/>
      <c r="D60" s="119"/>
    </row>
    <row r="61" spans="1:4">
      <c r="A61" s="16">
        <v>45988</v>
      </c>
      <c r="B61" s="103"/>
      <c r="C61" s="85"/>
      <c r="D61" s="119"/>
    </row>
    <row r="62" spans="1:4">
      <c r="A62" s="16">
        <v>45971</v>
      </c>
      <c r="B62" s="103" t="s">
        <v>273</v>
      </c>
      <c r="C62" s="85" t="s">
        <v>274</v>
      </c>
      <c r="D62" s="119">
        <v>173500</v>
      </c>
    </row>
    <row r="63" spans="1:4">
      <c r="A63" s="16">
        <v>45975</v>
      </c>
      <c r="B63" s="103"/>
      <c r="C63" s="85"/>
      <c r="D63" s="119"/>
    </row>
    <row r="64" spans="1:4">
      <c r="A64" s="16">
        <v>45987</v>
      </c>
      <c r="B64" s="103"/>
      <c r="C64" s="85"/>
      <c r="D64" s="119"/>
    </row>
    <row r="65" spans="1:4">
      <c r="A65" s="16">
        <v>45988</v>
      </c>
      <c r="B65" s="103"/>
      <c r="C65" s="85"/>
      <c r="D65" s="119"/>
    </row>
    <row r="66" spans="1:4">
      <c r="A66" s="16">
        <v>45962</v>
      </c>
      <c r="B66" s="50" t="s">
        <v>280</v>
      </c>
      <c r="C66" s="7" t="s">
        <v>281</v>
      </c>
      <c r="D66" s="23">
        <v>18000</v>
      </c>
    </row>
    <row r="67" spans="1:4">
      <c r="A67" s="16">
        <v>45965</v>
      </c>
      <c r="B67" s="103" t="s">
        <v>291</v>
      </c>
      <c r="C67" s="85" t="s">
        <v>292</v>
      </c>
      <c r="D67" s="119">
        <v>148591</v>
      </c>
    </row>
    <row r="68" spans="1:4">
      <c r="A68" s="16">
        <v>45974</v>
      </c>
      <c r="B68" s="103"/>
      <c r="C68" s="85"/>
      <c r="D68" s="119"/>
    </row>
    <row r="69" spans="1:4">
      <c r="A69" s="16">
        <v>45976</v>
      </c>
      <c r="B69" s="103"/>
      <c r="C69" s="85"/>
      <c r="D69" s="119"/>
    </row>
    <row r="70" spans="1:4">
      <c r="A70" s="16">
        <v>45965</v>
      </c>
      <c r="B70" s="50" t="s">
        <v>293</v>
      </c>
      <c r="C70" s="7"/>
      <c r="D70" s="23">
        <v>7200</v>
      </c>
    </row>
    <row r="71" spans="1:4">
      <c r="A71" s="16">
        <v>45966</v>
      </c>
      <c r="B71" s="50" t="s">
        <v>316</v>
      </c>
      <c r="C71" s="7" t="s">
        <v>317</v>
      </c>
      <c r="D71" s="23">
        <v>9000</v>
      </c>
    </row>
    <row r="72" spans="1:4">
      <c r="A72" s="16">
        <v>45975</v>
      </c>
      <c r="B72" s="103" t="s">
        <v>319</v>
      </c>
      <c r="C72" s="85" t="s">
        <v>320</v>
      </c>
      <c r="D72" s="119">
        <v>3852.5</v>
      </c>
    </row>
    <row r="73" spans="1:4">
      <c r="A73" s="16">
        <v>45986</v>
      </c>
      <c r="B73" s="103"/>
      <c r="C73" s="85"/>
      <c r="D73" s="119"/>
    </row>
    <row r="74" spans="1:4">
      <c r="A74" s="16">
        <v>45969</v>
      </c>
      <c r="B74" s="103" t="s">
        <v>321</v>
      </c>
      <c r="C74" s="85" t="s">
        <v>322</v>
      </c>
      <c r="D74" s="119">
        <v>273500</v>
      </c>
    </row>
    <row r="75" spans="1:4">
      <c r="A75" s="16">
        <v>45983</v>
      </c>
      <c r="B75" s="103"/>
      <c r="C75" s="85"/>
      <c r="D75" s="119"/>
    </row>
    <row r="76" spans="1:4">
      <c r="A76" s="16">
        <v>45989</v>
      </c>
      <c r="B76" s="103"/>
      <c r="C76" s="85"/>
      <c r="D76" s="119"/>
    </row>
    <row r="77" spans="1:4">
      <c r="A77" s="16">
        <v>45976</v>
      </c>
      <c r="B77" s="103" t="s">
        <v>350</v>
      </c>
      <c r="C77" s="85" t="s">
        <v>347</v>
      </c>
      <c r="D77" s="119">
        <v>4500</v>
      </c>
    </row>
    <row r="78" spans="1:4">
      <c r="A78" s="16">
        <v>45978</v>
      </c>
      <c r="B78" s="103"/>
      <c r="C78" s="85"/>
      <c r="D78" s="119"/>
    </row>
    <row r="79" spans="1:4">
      <c r="A79" s="16">
        <v>45968</v>
      </c>
      <c r="B79" s="50" t="s">
        <v>351</v>
      </c>
      <c r="C79" s="7" t="s">
        <v>352</v>
      </c>
      <c r="D79" s="23">
        <v>32690</v>
      </c>
    </row>
    <row r="80" spans="1:4">
      <c r="A80" s="16">
        <v>45968</v>
      </c>
      <c r="B80" s="103" t="s">
        <v>353</v>
      </c>
      <c r="C80" s="85" t="s">
        <v>354</v>
      </c>
      <c r="D80" s="119">
        <v>35850</v>
      </c>
    </row>
    <row r="81" spans="1:4">
      <c r="A81" s="16">
        <v>45968</v>
      </c>
      <c r="B81" s="103"/>
      <c r="C81" s="85"/>
      <c r="D81" s="119"/>
    </row>
    <row r="82" spans="1:4">
      <c r="A82" s="16">
        <v>45988</v>
      </c>
      <c r="B82" s="103"/>
      <c r="C82" s="85"/>
      <c r="D82" s="119"/>
    </row>
    <row r="83" spans="1:4">
      <c r="A83" s="16">
        <v>45990</v>
      </c>
      <c r="B83" s="50" t="s">
        <v>357</v>
      </c>
      <c r="C83" s="7" t="s">
        <v>358</v>
      </c>
      <c r="D83" s="23">
        <v>60480</v>
      </c>
    </row>
    <row r="84" spans="1:4">
      <c r="A84" s="16">
        <v>45966</v>
      </c>
      <c r="B84" s="50" t="s">
        <v>380</v>
      </c>
      <c r="C84" s="7" t="s">
        <v>381</v>
      </c>
      <c r="D84" s="23">
        <v>8895</v>
      </c>
    </row>
    <row r="85" spans="1:4">
      <c r="A85" s="16">
        <v>45983</v>
      </c>
      <c r="B85" s="103" t="s">
        <v>400</v>
      </c>
      <c r="C85" s="85" t="s">
        <v>401</v>
      </c>
      <c r="D85" s="119">
        <v>346890</v>
      </c>
    </row>
    <row r="86" spans="1:4">
      <c r="A86" s="16">
        <v>45988</v>
      </c>
      <c r="B86" s="103"/>
      <c r="C86" s="85"/>
      <c r="D86" s="119"/>
    </row>
    <row r="87" spans="1:4">
      <c r="A87" s="16">
        <v>45989</v>
      </c>
      <c r="B87" s="103"/>
      <c r="C87" s="85"/>
      <c r="D87" s="119"/>
    </row>
    <row r="88" spans="1:4">
      <c r="A88" s="16">
        <v>45990</v>
      </c>
      <c r="B88" s="103"/>
      <c r="C88" s="85"/>
      <c r="D88" s="119"/>
    </row>
    <row r="89" spans="1:4">
      <c r="A89" s="16">
        <v>45966</v>
      </c>
      <c r="B89" s="103" t="s">
        <v>402</v>
      </c>
      <c r="C89" s="85" t="s">
        <v>403</v>
      </c>
      <c r="D89" s="119">
        <v>13300</v>
      </c>
    </row>
    <row r="90" spans="1:4">
      <c r="A90" s="16">
        <v>45966</v>
      </c>
      <c r="B90" s="103"/>
      <c r="C90" s="85"/>
      <c r="D90" s="119"/>
    </row>
    <row r="91" spans="1:4">
      <c r="A91" s="16">
        <v>45974</v>
      </c>
      <c r="B91" s="103"/>
      <c r="C91" s="85"/>
      <c r="D91" s="119"/>
    </row>
    <row r="92" spans="1:4">
      <c r="A92" s="16">
        <v>45974</v>
      </c>
      <c r="B92" s="103"/>
      <c r="C92" s="85"/>
      <c r="D92" s="119"/>
    </row>
    <row r="93" spans="1:4">
      <c r="A93" s="16">
        <v>45962</v>
      </c>
      <c r="B93" s="103" t="s">
        <v>414</v>
      </c>
      <c r="C93" s="85" t="s">
        <v>415</v>
      </c>
      <c r="D93" s="119">
        <v>5365.5</v>
      </c>
    </row>
    <row r="94" spans="1:4">
      <c r="A94" s="16">
        <v>45969</v>
      </c>
      <c r="B94" s="103"/>
      <c r="C94" s="85"/>
      <c r="D94" s="119"/>
    </row>
    <row r="95" spans="1:4">
      <c r="A95" s="16">
        <v>45980</v>
      </c>
      <c r="B95" s="103"/>
      <c r="C95" s="85"/>
      <c r="D95" s="119"/>
    </row>
    <row r="96" spans="1:4">
      <c r="A96" s="16">
        <v>45978</v>
      </c>
      <c r="B96" s="50" t="s">
        <v>418</v>
      </c>
      <c r="C96" s="7"/>
      <c r="D96" s="23">
        <v>12960</v>
      </c>
    </row>
    <row r="97" spans="1:4">
      <c r="A97" s="16">
        <v>45982</v>
      </c>
      <c r="B97" s="50" t="s">
        <v>423</v>
      </c>
      <c r="C97" s="7"/>
      <c r="D97" s="23">
        <v>4000</v>
      </c>
    </row>
    <row r="98" spans="1:4">
      <c r="A98" s="16">
        <v>45976</v>
      </c>
      <c r="B98" s="50" t="s">
        <v>427</v>
      </c>
      <c r="C98" s="7" t="s">
        <v>428</v>
      </c>
      <c r="D98" s="23">
        <v>42857</v>
      </c>
    </row>
    <row r="99" spans="1:4">
      <c r="A99" s="16">
        <v>45965</v>
      </c>
      <c r="B99" s="50" t="s">
        <v>440</v>
      </c>
      <c r="C99" s="7" t="s">
        <v>441</v>
      </c>
      <c r="D99" s="23">
        <v>1523</v>
      </c>
    </row>
    <row r="100" spans="1:4">
      <c r="A100" s="16">
        <v>45989</v>
      </c>
      <c r="B100" s="50" t="s">
        <v>442</v>
      </c>
      <c r="C100" s="7" t="s">
        <v>443</v>
      </c>
      <c r="D100" s="23">
        <v>77900</v>
      </c>
    </row>
    <row r="101" spans="1:4">
      <c r="A101" s="16">
        <v>45981</v>
      </c>
      <c r="B101" s="103" t="s">
        <v>446</v>
      </c>
      <c r="C101" s="85" t="s">
        <v>447</v>
      </c>
      <c r="D101" s="119">
        <v>4090</v>
      </c>
    </row>
    <row r="102" spans="1:4">
      <c r="A102" s="16">
        <v>45989</v>
      </c>
      <c r="B102" s="103"/>
      <c r="C102" s="85"/>
      <c r="D102" s="119"/>
    </row>
    <row r="103" spans="1:4">
      <c r="A103" s="16">
        <v>45965</v>
      </c>
      <c r="B103" s="50" t="s">
        <v>449</v>
      </c>
      <c r="C103" s="7" t="s">
        <v>450</v>
      </c>
      <c r="D103" s="23">
        <v>68000</v>
      </c>
    </row>
    <row r="104" spans="1:4">
      <c r="A104" s="16">
        <v>45973</v>
      </c>
      <c r="B104" s="50" t="s">
        <v>453</v>
      </c>
      <c r="C104" s="7"/>
      <c r="D104" s="23">
        <v>4050</v>
      </c>
    </row>
    <row r="105" spans="1:4">
      <c r="A105" s="16">
        <v>45962</v>
      </c>
      <c r="B105" s="50" t="s">
        <v>458</v>
      </c>
      <c r="C105" s="7" t="s">
        <v>459</v>
      </c>
      <c r="D105" s="23">
        <v>14220</v>
      </c>
    </row>
    <row r="106" spans="1:4">
      <c r="A106" s="16">
        <v>45981</v>
      </c>
      <c r="B106" s="50" t="s">
        <v>462</v>
      </c>
      <c r="C106" s="7" t="s">
        <v>463</v>
      </c>
      <c r="D106" s="23">
        <v>6400</v>
      </c>
    </row>
    <row r="107" spans="1:4">
      <c r="A107" s="16">
        <v>45966</v>
      </c>
      <c r="B107" s="50" t="s">
        <v>464</v>
      </c>
      <c r="C107" s="7" t="s">
        <v>465</v>
      </c>
      <c r="D107" s="23">
        <v>3000</v>
      </c>
    </row>
    <row r="108" spans="1:4">
      <c r="A108" s="16">
        <v>45969</v>
      </c>
      <c r="B108" s="50" t="s">
        <v>470</v>
      </c>
      <c r="C108" s="7" t="s">
        <v>471</v>
      </c>
      <c r="D108" s="23">
        <v>75000</v>
      </c>
    </row>
    <row r="109" spans="1:4">
      <c r="A109" s="16">
        <v>45975</v>
      </c>
      <c r="B109" s="50" t="s">
        <v>483</v>
      </c>
      <c r="C109" s="7" t="s">
        <v>484</v>
      </c>
      <c r="D109" s="23">
        <v>45000</v>
      </c>
    </row>
    <row r="110" spans="1:4">
      <c r="A110" s="16">
        <v>45975</v>
      </c>
      <c r="B110" s="50" t="s">
        <v>485</v>
      </c>
      <c r="C110" s="7" t="s">
        <v>486</v>
      </c>
      <c r="D110" s="23">
        <v>8160</v>
      </c>
    </row>
    <row r="111" spans="1:4">
      <c r="A111" s="16">
        <v>45976</v>
      </c>
      <c r="B111" s="50" t="s">
        <v>492</v>
      </c>
      <c r="C111" s="7"/>
      <c r="D111" s="23">
        <v>15400</v>
      </c>
    </row>
    <row r="112" spans="1:4">
      <c r="A112" s="16">
        <v>45982</v>
      </c>
      <c r="B112" s="50" t="s">
        <v>493</v>
      </c>
      <c r="C112" s="7"/>
      <c r="D112" s="23">
        <v>8820</v>
      </c>
    </row>
    <row r="113" spans="1:4">
      <c r="A113" s="16">
        <v>45985</v>
      </c>
      <c r="B113" s="103" t="s">
        <v>501</v>
      </c>
      <c r="C113" s="85" t="s">
        <v>502</v>
      </c>
      <c r="D113" s="119">
        <v>131800</v>
      </c>
    </row>
    <row r="114" spans="1:4">
      <c r="A114" s="16">
        <v>45990</v>
      </c>
      <c r="B114" s="103"/>
      <c r="C114" s="85"/>
      <c r="D114" s="119"/>
    </row>
    <row r="115" spans="1:4">
      <c r="A115" s="16">
        <v>45988</v>
      </c>
      <c r="B115" s="50" t="s">
        <v>503</v>
      </c>
      <c r="C115" s="7" t="s">
        <v>504</v>
      </c>
      <c r="D115" s="23">
        <v>49500</v>
      </c>
    </row>
    <row r="116" spans="1:4">
      <c r="A116" s="16">
        <v>45989</v>
      </c>
      <c r="B116" s="50" t="s">
        <v>508</v>
      </c>
      <c r="C116" s="7" t="s">
        <v>509</v>
      </c>
      <c r="D116" s="23">
        <v>2550.5</v>
      </c>
    </row>
    <row r="117" spans="1:4">
      <c r="A117" s="16">
        <v>45972</v>
      </c>
      <c r="B117" s="50" t="s">
        <v>510</v>
      </c>
      <c r="C117" s="7" t="s">
        <v>511</v>
      </c>
      <c r="D117" s="23">
        <v>4084</v>
      </c>
    </row>
    <row r="118" spans="1:4">
      <c r="A118" s="16">
        <v>45965</v>
      </c>
      <c r="B118" s="50" t="s">
        <v>519</v>
      </c>
      <c r="C118" s="7" t="s">
        <v>520</v>
      </c>
      <c r="D118" s="23">
        <v>2350</v>
      </c>
    </row>
    <row r="119" spans="1:4">
      <c r="A119" s="16">
        <v>45975</v>
      </c>
      <c r="B119" s="50" t="s">
        <v>521</v>
      </c>
      <c r="C119" s="7" t="s">
        <v>522</v>
      </c>
      <c r="D119" s="23">
        <v>13125</v>
      </c>
    </row>
    <row r="120" spans="1:4">
      <c r="A120" s="16">
        <v>45969</v>
      </c>
      <c r="B120" s="103" t="s">
        <v>526</v>
      </c>
      <c r="C120" s="85" t="s">
        <v>527</v>
      </c>
      <c r="D120" s="119">
        <v>6300</v>
      </c>
    </row>
    <row r="121" spans="1:4">
      <c r="A121" s="16">
        <v>45979</v>
      </c>
      <c r="B121" s="103"/>
      <c r="C121" s="85"/>
      <c r="D121" s="119"/>
    </row>
    <row r="122" spans="1:4">
      <c r="A122" s="16">
        <v>45974</v>
      </c>
      <c r="B122" s="50" t="s">
        <v>530</v>
      </c>
      <c r="C122" s="7" t="s">
        <v>531</v>
      </c>
      <c r="D122" s="23">
        <v>22810</v>
      </c>
    </row>
    <row r="123" spans="1:4">
      <c r="A123" s="16">
        <v>45973</v>
      </c>
      <c r="B123" s="50" t="s">
        <v>537</v>
      </c>
      <c r="C123" s="7"/>
      <c r="D123" s="23">
        <v>1287780.1599999999</v>
      </c>
    </row>
    <row r="124" spans="1:4">
      <c r="A124" s="16">
        <v>45962</v>
      </c>
      <c r="B124" s="103" t="s">
        <v>540</v>
      </c>
      <c r="C124" s="85" t="s">
        <v>541</v>
      </c>
      <c r="D124" s="119">
        <v>8500</v>
      </c>
    </row>
    <row r="125" spans="1:4">
      <c r="A125" s="16">
        <v>45988</v>
      </c>
      <c r="B125" s="103"/>
      <c r="C125" s="85"/>
      <c r="D125" s="119"/>
    </row>
    <row r="126" spans="1:4">
      <c r="A126" s="16">
        <v>45980</v>
      </c>
      <c r="B126" s="50" t="s">
        <v>542</v>
      </c>
      <c r="C126" s="7"/>
      <c r="D126" s="23">
        <v>685.5</v>
      </c>
    </row>
    <row r="127" spans="1:4">
      <c r="A127" s="16">
        <v>45974</v>
      </c>
      <c r="B127" s="50" t="s">
        <v>545</v>
      </c>
      <c r="C127" s="7" t="s">
        <v>546</v>
      </c>
      <c r="D127" s="23">
        <v>4400</v>
      </c>
    </row>
    <row r="128" spans="1:4">
      <c r="A128" s="16">
        <v>45962</v>
      </c>
      <c r="B128" s="103" t="s">
        <v>552</v>
      </c>
      <c r="C128" s="85" t="s">
        <v>553</v>
      </c>
      <c r="D128" s="119">
        <v>80450</v>
      </c>
    </row>
    <row r="129" spans="1:4">
      <c r="A129" s="16">
        <v>45965</v>
      </c>
      <c r="B129" s="103"/>
      <c r="C129" s="85"/>
      <c r="D129" s="119"/>
    </row>
    <row r="130" spans="1:4">
      <c r="A130" s="16">
        <v>45975</v>
      </c>
      <c r="B130" s="103"/>
      <c r="C130" s="85"/>
      <c r="D130" s="119"/>
    </row>
    <row r="131" spans="1:4">
      <c r="A131" s="16">
        <v>45980</v>
      </c>
      <c r="B131" s="103"/>
      <c r="C131" s="85"/>
      <c r="D131" s="119"/>
    </row>
    <row r="132" spans="1:4">
      <c r="A132" s="16">
        <v>45987</v>
      </c>
      <c r="B132" s="50" t="s">
        <v>558</v>
      </c>
      <c r="C132" s="7" t="s">
        <v>559</v>
      </c>
      <c r="D132" s="23">
        <v>500</v>
      </c>
    </row>
    <row r="133" spans="1:4">
      <c r="A133" s="16">
        <v>45962</v>
      </c>
      <c r="B133" s="50" t="s">
        <v>562</v>
      </c>
      <c r="C133" s="7" t="s">
        <v>563</v>
      </c>
      <c r="D133" s="23">
        <v>2425</v>
      </c>
    </row>
    <row r="134" spans="1:4">
      <c r="A134" s="16">
        <v>45983</v>
      </c>
      <c r="B134" s="103" t="s">
        <v>565</v>
      </c>
      <c r="C134" s="85" t="s">
        <v>566</v>
      </c>
      <c r="D134" s="119">
        <v>6200</v>
      </c>
    </row>
    <row r="135" spans="1:4">
      <c r="A135" s="16">
        <v>45985</v>
      </c>
      <c r="B135" s="103"/>
      <c r="C135" s="85"/>
      <c r="D135" s="119"/>
    </row>
    <row r="136" spans="1:4">
      <c r="A136" s="16">
        <v>45989</v>
      </c>
      <c r="B136" s="50" t="s">
        <v>574</v>
      </c>
      <c r="C136" s="7" t="s">
        <v>575</v>
      </c>
      <c r="D136" s="23">
        <v>84100</v>
      </c>
    </row>
    <row r="137" spans="1:4">
      <c r="A137" s="16">
        <v>45964</v>
      </c>
      <c r="B137" s="103" t="s">
        <v>578</v>
      </c>
      <c r="C137" s="85" t="s">
        <v>579</v>
      </c>
      <c r="D137" s="119">
        <v>30665</v>
      </c>
    </row>
    <row r="138" spans="1:4">
      <c r="A138" s="16">
        <v>45983</v>
      </c>
      <c r="B138" s="103"/>
      <c r="C138" s="85"/>
      <c r="D138" s="119"/>
    </row>
    <row r="139" spans="1:4">
      <c r="A139" s="16">
        <v>45989</v>
      </c>
      <c r="B139" s="103"/>
      <c r="C139" s="85"/>
      <c r="D139" s="119"/>
    </row>
    <row r="140" spans="1:4">
      <c r="A140" s="16">
        <v>45990</v>
      </c>
      <c r="B140" s="50" t="s">
        <v>585</v>
      </c>
      <c r="C140" s="7"/>
      <c r="D140" s="23">
        <v>3500</v>
      </c>
    </row>
    <row r="141" spans="1:4">
      <c r="A141" s="16">
        <v>45964</v>
      </c>
      <c r="B141" s="50" t="s">
        <v>586</v>
      </c>
      <c r="C141" s="7" t="s">
        <v>587</v>
      </c>
      <c r="D141" s="23">
        <v>5000</v>
      </c>
    </row>
    <row r="142" spans="1:4">
      <c r="A142" s="16">
        <v>45975</v>
      </c>
      <c r="B142" s="50" t="s">
        <v>588</v>
      </c>
      <c r="C142" s="7"/>
      <c r="D142" s="23">
        <v>4900</v>
      </c>
    </row>
    <row r="143" spans="1:4">
      <c r="A143" s="16">
        <v>45974</v>
      </c>
      <c r="B143" s="50" t="s">
        <v>590</v>
      </c>
      <c r="C143" s="7" t="s">
        <v>591</v>
      </c>
      <c r="D143" s="23">
        <v>3900</v>
      </c>
    </row>
    <row r="144" spans="1:4">
      <c r="A144" s="16">
        <v>45974</v>
      </c>
      <c r="B144" s="50" t="s">
        <v>619</v>
      </c>
      <c r="C144" s="7" t="s">
        <v>620</v>
      </c>
      <c r="D144" s="23">
        <v>63115</v>
      </c>
    </row>
    <row r="145" spans="1:4">
      <c r="A145" s="16">
        <v>45972</v>
      </c>
      <c r="B145" s="103" t="s">
        <v>627</v>
      </c>
      <c r="C145" s="85" t="s">
        <v>628</v>
      </c>
      <c r="D145" s="119">
        <v>54500</v>
      </c>
    </row>
    <row r="146" spans="1:4">
      <c r="A146" s="16">
        <v>45972</v>
      </c>
      <c r="B146" s="103"/>
      <c r="C146" s="85"/>
      <c r="D146" s="119"/>
    </row>
    <row r="147" spans="1:4">
      <c r="A147" s="16">
        <v>45979</v>
      </c>
      <c r="B147" s="103"/>
      <c r="C147" s="85"/>
      <c r="D147" s="119"/>
    </row>
    <row r="148" spans="1:4">
      <c r="A148" s="16">
        <v>45969</v>
      </c>
      <c r="B148" s="50" t="s">
        <v>647</v>
      </c>
      <c r="C148" s="7" t="s">
        <v>648</v>
      </c>
      <c r="D148" s="23">
        <v>85000</v>
      </c>
    </row>
    <row r="149" spans="1:4">
      <c r="A149" s="16">
        <v>45978</v>
      </c>
      <c r="B149" s="50" t="s">
        <v>653</v>
      </c>
      <c r="C149" s="7" t="s">
        <v>654</v>
      </c>
      <c r="D149" s="23">
        <v>5875</v>
      </c>
    </row>
    <row r="150" spans="1:4">
      <c r="A150" s="16">
        <v>45964</v>
      </c>
      <c r="B150" s="103" t="s">
        <v>655</v>
      </c>
      <c r="C150" s="85" t="s">
        <v>656</v>
      </c>
      <c r="D150" s="119">
        <v>34800</v>
      </c>
    </row>
    <row r="151" spans="1:4">
      <c r="A151" s="16">
        <v>45968</v>
      </c>
      <c r="B151" s="103"/>
      <c r="C151" s="85"/>
      <c r="D151" s="119"/>
    </row>
    <row r="152" spans="1:4">
      <c r="A152" s="16">
        <v>45985</v>
      </c>
      <c r="B152" s="103"/>
      <c r="C152" s="85"/>
      <c r="D152" s="119"/>
    </row>
    <row r="153" spans="1:4">
      <c r="A153" s="16">
        <v>45987</v>
      </c>
      <c r="B153" s="103"/>
      <c r="C153" s="85"/>
      <c r="D153" s="119"/>
    </row>
    <row r="154" spans="1:4">
      <c r="A154" s="16">
        <v>45988</v>
      </c>
      <c r="B154" s="103"/>
      <c r="C154" s="85"/>
      <c r="D154" s="119"/>
    </row>
    <row r="155" spans="1:4">
      <c r="A155" s="16">
        <v>45988</v>
      </c>
      <c r="B155" s="103"/>
      <c r="C155" s="85"/>
      <c r="D155" s="119"/>
    </row>
    <row r="156" spans="1:4">
      <c r="A156" s="16">
        <v>45989</v>
      </c>
      <c r="B156" s="50" t="s">
        <v>660</v>
      </c>
      <c r="C156" s="7" t="s">
        <v>661</v>
      </c>
      <c r="D156" s="23">
        <v>3150</v>
      </c>
    </row>
    <row r="157" spans="1:4">
      <c r="A157" s="16">
        <v>45986</v>
      </c>
      <c r="B157" s="50" t="s">
        <v>666</v>
      </c>
      <c r="C157" s="7" t="s">
        <v>667</v>
      </c>
      <c r="D157" s="23">
        <v>5600</v>
      </c>
    </row>
    <row r="158" spans="1:4">
      <c r="A158" s="16">
        <v>45989</v>
      </c>
      <c r="B158" s="50" t="s">
        <v>672</v>
      </c>
      <c r="C158" s="7" t="s">
        <v>661</v>
      </c>
      <c r="D158" s="23">
        <v>7000</v>
      </c>
    </row>
    <row r="159" spans="1:4">
      <c r="A159" s="16">
        <v>45966</v>
      </c>
      <c r="B159" s="50" t="s">
        <v>673</v>
      </c>
      <c r="C159" s="7" t="s">
        <v>674</v>
      </c>
      <c r="D159" s="23">
        <v>3150</v>
      </c>
    </row>
    <row r="160" spans="1:4">
      <c r="A160" s="16">
        <v>45982</v>
      </c>
      <c r="B160" s="50" t="s">
        <v>675</v>
      </c>
      <c r="C160" s="7" t="s">
        <v>676</v>
      </c>
      <c r="D160" s="23">
        <v>5600</v>
      </c>
    </row>
    <row r="161" spans="1:4">
      <c r="A161" s="16">
        <v>45979</v>
      </c>
      <c r="B161" s="50" t="s">
        <v>702</v>
      </c>
      <c r="C161" s="7"/>
      <c r="D161" s="23">
        <v>6000</v>
      </c>
    </row>
    <row r="162" spans="1:4">
      <c r="A162" s="16">
        <v>45978</v>
      </c>
      <c r="B162" s="103" t="s">
        <v>714</v>
      </c>
      <c r="C162" s="85" t="s">
        <v>715</v>
      </c>
      <c r="D162" s="119">
        <v>123340</v>
      </c>
    </row>
    <row r="163" spans="1:4">
      <c r="A163" s="16">
        <v>45978</v>
      </c>
      <c r="B163" s="103"/>
      <c r="C163" s="85"/>
      <c r="D163" s="119"/>
    </row>
    <row r="164" spans="1:4">
      <c r="A164" s="16">
        <v>45981</v>
      </c>
      <c r="B164" s="103"/>
      <c r="C164" s="85"/>
      <c r="D164" s="119"/>
    </row>
    <row r="165" spans="1:4">
      <c r="A165" s="16">
        <v>45965</v>
      </c>
      <c r="B165" s="50" t="s">
        <v>716</v>
      </c>
      <c r="C165" s="7" t="s">
        <v>717</v>
      </c>
      <c r="D165" s="23">
        <v>47142.86</v>
      </c>
    </row>
    <row r="166" spans="1:4">
      <c r="A166" s="16">
        <v>45967</v>
      </c>
      <c r="B166" s="50" t="s">
        <v>720</v>
      </c>
      <c r="C166" s="7"/>
      <c r="D166" s="23">
        <v>1485</v>
      </c>
    </row>
    <row r="167" spans="1:4">
      <c r="A167" s="16">
        <v>45969</v>
      </c>
      <c r="B167" s="50" t="s">
        <v>723</v>
      </c>
      <c r="C167" s="7" t="s">
        <v>724</v>
      </c>
      <c r="D167" s="23">
        <v>10440</v>
      </c>
    </row>
    <row r="168" spans="1:4">
      <c r="A168" s="16">
        <v>45978</v>
      </c>
      <c r="B168" s="103" t="s">
        <v>729</v>
      </c>
      <c r="C168" s="85" t="s">
        <v>730</v>
      </c>
      <c r="D168" s="119">
        <v>15700</v>
      </c>
    </row>
    <row r="169" spans="1:4">
      <c r="A169" s="16">
        <v>45979</v>
      </c>
      <c r="B169" s="103"/>
      <c r="C169" s="85"/>
      <c r="D169" s="119"/>
    </row>
    <row r="170" spans="1:4">
      <c r="A170" s="16">
        <v>45988</v>
      </c>
      <c r="B170" s="50" t="s">
        <v>731</v>
      </c>
      <c r="C170" s="7"/>
      <c r="D170" s="23">
        <v>2800</v>
      </c>
    </row>
    <row r="171" spans="1:4">
      <c r="A171" s="16">
        <v>45971</v>
      </c>
      <c r="B171" s="50" t="s">
        <v>744</v>
      </c>
      <c r="C171" s="7" t="s">
        <v>745</v>
      </c>
      <c r="D171" s="23">
        <v>17950</v>
      </c>
    </row>
    <row r="172" spans="1:4">
      <c r="A172" s="16">
        <v>45968</v>
      </c>
      <c r="B172" s="103" t="s">
        <v>746</v>
      </c>
      <c r="C172" s="85"/>
      <c r="D172" s="119">
        <v>221705</v>
      </c>
    </row>
    <row r="173" spans="1:4">
      <c r="A173" s="16">
        <v>45968</v>
      </c>
      <c r="B173" s="103"/>
      <c r="C173" s="85"/>
      <c r="D173" s="119"/>
    </row>
    <row r="174" spans="1:4">
      <c r="A174" s="16">
        <v>45968</v>
      </c>
      <c r="B174" s="103"/>
      <c r="C174" s="85"/>
      <c r="D174" s="119"/>
    </row>
    <row r="175" spans="1:4">
      <c r="A175" s="16">
        <v>45974</v>
      </c>
      <c r="B175" s="103"/>
      <c r="C175" s="85"/>
      <c r="D175" s="119"/>
    </row>
    <row r="176" spans="1:4">
      <c r="A176" s="16">
        <v>45981</v>
      </c>
      <c r="B176" s="50" t="s">
        <v>756</v>
      </c>
      <c r="C176" s="7" t="s">
        <v>757</v>
      </c>
      <c r="D176" s="23">
        <v>27600</v>
      </c>
    </row>
    <row r="177" spans="1:4">
      <c r="A177" s="16">
        <v>45962</v>
      </c>
      <c r="B177" s="103" t="s">
        <v>760</v>
      </c>
      <c r="C177" s="85" t="s">
        <v>761</v>
      </c>
      <c r="D177" s="119">
        <v>182127.5</v>
      </c>
    </row>
    <row r="178" spans="1:4">
      <c r="A178" s="16">
        <v>45968</v>
      </c>
      <c r="B178" s="103"/>
      <c r="C178" s="85"/>
      <c r="D178" s="119"/>
    </row>
    <row r="179" spans="1:4">
      <c r="A179" s="16">
        <v>45983</v>
      </c>
      <c r="B179" s="50" t="s">
        <v>762</v>
      </c>
      <c r="C179" s="7" t="s">
        <v>763</v>
      </c>
      <c r="D179" s="23">
        <v>12000</v>
      </c>
    </row>
    <row r="180" spans="1:4">
      <c r="A180" s="16">
        <v>45980</v>
      </c>
      <c r="B180" s="50" t="s">
        <v>764</v>
      </c>
      <c r="C180" s="7" t="s">
        <v>765</v>
      </c>
      <c r="D180" s="23">
        <v>28000</v>
      </c>
    </row>
    <row r="181" spans="1:4">
      <c r="A181" s="16">
        <v>45965</v>
      </c>
      <c r="B181" s="50" t="s">
        <v>771</v>
      </c>
      <c r="C181" s="7"/>
      <c r="D181" s="23">
        <v>4600</v>
      </c>
    </row>
    <row r="182" spans="1:4">
      <c r="A182" s="16">
        <v>45969</v>
      </c>
      <c r="B182" s="103" t="s">
        <v>776</v>
      </c>
      <c r="C182" s="85" t="s">
        <v>777</v>
      </c>
      <c r="D182" s="119">
        <v>146410</v>
      </c>
    </row>
    <row r="183" spans="1:4">
      <c r="A183" s="16">
        <v>45971</v>
      </c>
      <c r="B183" s="103"/>
      <c r="C183" s="85"/>
      <c r="D183" s="119"/>
    </row>
    <row r="184" spans="1:4">
      <c r="A184" s="16">
        <v>45989</v>
      </c>
      <c r="B184" s="103"/>
      <c r="C184" s="85"/>
      <c r="D184" s="119"/>
    </row>
    <row r="185" spans="1:4">
      <c r="A185" s="16">
        <v>45990</v>
      </c>
      <c r="B185" s="103"/>
      <c r="C185" s="85"/>
      <c r="D185" s="119"/>
    </row>
    <row r="186" spans="1:4">
      <c r="A186" s="16">
        <v>45979</v>
      </c>
      <c r="B186" s="50" t="s">
        <v>778</v>
      </c>
      <c r="C186" s="7" t="s">
        <v>779</v>
      </c>
      <c r="D186" s="23">
        <v>11190</v>
      </c>
    </row>
    <row r="187" spans="1:4">
      <c r="A187" s="16">
        <v>45971</v>
      </c>
      <c r="B187" s="50" t="s">
        <v>783</v>
      </c>
      <c r="C187" s="7"/>
      <c r="D187" s="23">
        <v>3000</v>
      </c>
    </row>
    <row r="188" spans="1:4">
      <c r="A188" s="16">
        <v>45987</v>
      </c>
      <c r="B188" s="50" t="s">
        <v>800</v>
      </c>
      <c r="C188" s="7" t="s">
        <v>801</v>
      </c>
      <c r="D188" s="23">
        <v>70000</v>
      </c>
    </row>
    <row r="189" spans="1:4">
      <c r="A189" s="16">
        <v>45990</v>
      </c>
      <c r="B189" s="50" t="s">
        <v>811</v>
      </c>
      <c r="C189" s="7" t="s">
        <v>812</v>
      </c>
      <c r="D189" s="23">
        <v>7122.5</v>
      </c>
    </row>
    <row r="190" spans="1:4">
      <c r="A190" s="16">
        <v>45965</v>
      </c>
      <c r="B190" s="103" t="s">
        <v>823</v>
      </c>
      <c r="C190" s="85" t="s">
        <v>824</v>
      </c>
      <c r="D190" s="119">
        <v>9705</v>
      </c>
    </row>
    <row r="191" spans="1:4">
      <c r="A191" s="16">
        <v>45980</v>
      </c>
      <c r="B191" s="103"/>
      <c r="C191" s="85"/>
      <c r="D191" s="119"/>
    </row>
    <row r="192" spans="1:4">
      <c r="A192" s="16">
        <v>45985</v>
      </c>
      <c r="B192" s="103"/>
      <c r="C192" s="85"/>
      <c r="D192" s="119"/>
    </row>
    <row r="193" spans="1:4">
      <c r="A193" s="16">
        <v>45965</v>
      </c>
      <c r="B193" s="103" t="s">
        <v>829</v>
      </c>
      <c r="C193" s="85" t="s">
        <v>830</v>
      </c>
      <c r="D193" s="119">
        <v>284250</v>
      </c>
    </row>
    <row r="194" spans="1:4">
      <c r="A194" s="16">
        <v>45990</v>
      </c>
      <c r="B194" s="103"/>
      <c r="C194" s="85"/>
      <c r="D194" s="119"/>
    </row>
    <row r="195" spans="1:4">
      <c r="A195" s="16">
        <v>45975</v>
      </c>
      <c r="B195" s="103" t="s">
        <v>838</v>
      </c>
      <c r="C195" s="85" t="s">
        <v>839</v>
      </c>
      <c r="D195" s="119">
        <v>17527.5</v>
      </c>
    </row>
    <row r="196" spans="1:4">
      <c r="A196" s="16">
        <v>45976</v>
      </c>
      <c r="B196" s="103"/>
      <c r="C196" s="85"/>
      <c r="D196" s="119"/>
    </row>
    <row r="197" spans="1:4">
      <c r="A197" s="16">
        <v>45989</v>
      </c>
      <c r="B197" s="103"/>
      <c r="C197" s="85"/>
      <c r="D197" s="119"/>
    </row>
    <row r="198" spans="1:4">
      <c r="A198" s="16">
        <v>45964</v>
      </c>
      <c r="B198" s="50" t="s">
        <v>843</v>
      </c>
      <c r="C198" s="7" t="s">
        <v>932</v>
      </c>
      <c r="D198" s="23">
        <v>6800</v>
      </c>
    </row>
    <row r="199" spans="1:4">
      <c r="A199" s="16">
        <v>45965</v>
      </c>
      <c r="B199" s="50" t="s">
        <v>857</v>
      </c>
      <c r="C199" s="7"/>
      <c r="D199" s="23">
        <v>1715</v>
      </c>
    </row>
    <row r="200" spans="1:4">
      <c r="A200" s="16">
        <v>45968</v>
      </c>
      <c r="B200" s="50" t="s">
        <v>864</v>
      </c>
      <c r="C200" s="7" t="s">
        <v>865</v>
      </c>
      <c r="D200" s="23">
        <v>3556.5</v>
      </c>
    </row>
    <row r="201" spans="1:4">
      <c r="A201" s="16">
        <v>45973</v>
      </c>
      <c r="B201" s="50" t="s">
        <v>866</v>
      </c>
      <c r="C201" s="7"/>
      <c r="D201" s="23">
        <v>907</v>
      </c>
    </row>
    <row r="202" spans="1:4">
      <c r="A202" s="16">
        <v>45969</v>
      </c>
      <c r="B202" s="50" t="s">
        <v>880</v>
      </c>
      <c r="C202" s="7"/>
      <c r="D202" s="23">
        <v>1943</v>
      </c>
    </row>
    <row r="203" spans="1:4">
      <c r="A203" s="16">
        <v>45975</v>
      </c>
      <c r="B203" s="50" t="s">
        <v>888</v>
      </c>
      <c r="C203" s="7" t="s">
        <v>889</v>
      </c>
      <c r="D203" s="23">
        <v>171000</v>
      </c>
    </row>
    <row r="204" spans="1:4">
      <c r="A204" s="16">
        <v>45966</v>
      </c>
      <c r="B204" s="50" t="s">
        <v>890</v>
      </c>
      <c r="C204" s="7"/>
      <c r="D204" s="23">
        <v>1101</v>
      </c>
    </row>
    <row r="205" spans="1:4">
      <c r="A205" s="16">
        <v>45966</v>
      </c>
      <c r="B205" s="50" t="s">
        <v>892</v>
      </c>
      <c r="C205" s="7" t="s">
        <v>893</v>
      </c>
      <c r="D205" s="23">
        <v>5650</v>
      </c>
    </row>
    <row r="206" spans="1:4">
      <c r="A206" s="16">
        <v>45989</v>
      </c>
      <c r="B206" s="50" t="s">
        <v>898</v>
      </c>
      <c r="C206" s="7" t="s">
        <v>899</v>
      </c>
      <c r="D206" s="23">
        <v>1900</v>
      </c>
    </row>
    <row r="207" spans="1:4">
      <c r="A207" s="17"/>
      <c r="B207" s="18" t="s">
        <v>918</v>
      </c>
      <c r="C207" s="7"/>
      <c r="D207" s="44">
        <f>SUM(D4:D206)</f>
        <v>7290088.0200000005</v>
      </c>
    </row>
    <row r="208" spans="1:4">
      <c r="D208" s="62"/>
    </row>
    <row r="209" spans="4:4">
      <c r="D209" s="58"/>
    </row>
  </sheetData>
  <sortState xmlns:xlrd2="http://schemas.microsoft.com/office/spreadsheetml/2017/richdata2" ref="A4:C206">
    <sortCondition ref="B4:B206"/>
  </sortState>
  <mergeCells count="113">
    <mergeCell ref="B193:B194"/>
    <mergeCell ref="C193:C194"/>
    <mergeCell ref="D193:D194"/>
    <mergeCell ref="B195:B197"/>
    <mergeCell ref="C195:C197"/>
    <mergeCell ref="D195:D197"/>
    <mergeCell ref="B182:B185"/>
    <mergeCell ref="C182:C185"/>
    <mergeCell ref="D182:D185"/>
    <mergeCell ref="B190:B192"/>
    <mergeCell ref="C190:C192"/>
    <mergeCell ref="D190:D192"/>
    <mergeCell ref="B172:B175"/>
    <mergeCell ref="C172:C175"/>
    <mergeCell ref="D172:D175"/>
    <mergeCell ref="B177:B178"/>
    <mergeCell ref="C177:C178"/>
    <mergeCell ref="D177:D178"/>
    <mergeCell ref="B162:B164"/>
    <mergeCell ref="C162:C164"/>
    <mergeCell ref="D162:D164"/>
    <mergeCell ref="B168:B169"/>
    <mergeCell ref="C168:C169"/>
    <mergeCell ref="D168:D169"/>
    <mergeCell ref="B145:B147"/>
    <mergeCell ref="C145:C147"/>
    <mergeCell ref="D145:D147"/>
    <mergeCell ref="B150:B155"/>
    <mergeCell ref="C150:C155"/>
    <mergeCell ref="D150:D155"/>
    <mergeCell ref="B134:B135"/>
    <mergeCell ref="C134:C135"/>
    <mergeCell ref="D134:D135"/>
    <mergeCell ref="B137:B139"/>
    <mergeCell ref="C137:C139"/>
    <mergeCell ref="D137:D139"/>
    <mergeCell ref="B124:B125"/>
    <mergeCell ref="C124:C125"/>
    <mergeCell ref="D124:D125"/>
    <mergeCell ref="B128:B131"/>
    <mergeCell ref="C128:C131"/>
    <mergeCell ref="D128:D131"/>
    <mergeCell ref="B113:B114"/>
    <mergeCell ref="C113:C114"/>
    <mergeCell ref="D113:D114"/>
    <mergeCell ref="B120:B121"/>
    <mergeCell ref="C120:C121"/>
    <mergeCell ref="D120:D121"/>
    <mergeCell ref="B93:B95"/>
    <mergeCell ref="C93:C95"/>
    <mergeCell ref="D93:D95"/>
    <mergeCell ref="B101:B102"/>
    <mergeCell ref="C101:C102"/>
    <mergeCell ref="D101:D102"/>
    <mergeCell ref="B85:B88"/>
    <mergeCell ref="C85:C88"/>
    <mergeCell ref="D85:D88"/>
    <mergeCell ref="B89:B92"/>
    <mergeCell ref="C89:C92"/>
    <mergeCell ref="D89:D92"/>
    <mergeCell ref="B77:B78"/>
    <mergeCell ref="C77:C78"/>
    <mergeCell ref="D77:D78"/>
    <mergeCell ref="B80:B82"/>
    <mergeCell ref="C80:C82"/>
    <mergeCell ref="D80:D82"/>
    <mergeCell ref="B72:B73"/>
    <mergeCell ref="C72:C73"/>
    <mergeCell ref="D72:D73"/>
    <mergeCell ref="B74:B76"/>
    <mergeCell ref="C74:C76"/>
    <mergeCell ref="D74:D76"/>
    <mergeCell ref="B62:B65"/>
    <mergeCell ref="C62:C65"/>
    <mergeCell ref="D62:D65"/>
    <mergeCell ref="B67:B69"/>
    <mergeCell ref="C67:C69"/>
    <mergeCell ref="D67:D69"/>
    <mergeCell ref="B56:B58"/>
    <mergeCell ref="C56:C58"/>
    <mergeCell ref="D56:D58"/>
    <mergeCell ref="B59:B61"/>
    <mergeCell ref="C59:C61"/>
    <mergeCell ref="D59:D61"/>
    <mergeCell ref="B42:B43"/>
    <mergeCell ref="C42:C43"/>
    <mergeCell ref="D42:D43"/>
    <mergeCell ref="B54:B55"/>
    <mergeCell ref="C54:C55"/>
    <mergeCell ref="D54:D55"/>
    <mergeCell ref="B36:B38"/>
    <mergeCell ref="C36:C38"/>
    <mergeCell ref="D36:D38"/>
    <mergeCell ref="B40:B41"/>
    <mergeCell ref="C40:C41"/>
    <mergeCell ref="D40:D41"/>
    <mergeCell ref="A1:B1"/>
    <mergeCell ref="A2:B2"/>
    <mergeCell ref="B6:B10"/>
    <mergeCell ref="C6:C10"/>
    <mergeCell ref="D6:D10"/>
    <mergeCell ref="B18:B20"/>
    <mergeCell ref="C18:C20"/>
    <mergeCell ref="D18:D20"/>
    <mergeCell ref="B25:B34"/>
    <mergeCell ref="C25:C34"/>
    <mergeCell ref="D25:D34"/>
    <mergeCell ref="B11:B12"/>
    <mergeCell ref="C11:C12"/>
    <mergeCell ref="D11:D12"/>
    <mergeCell ref="B13:B14"/>
    <mergeCell ref="C13:C14"/>
    <mergeCell ref="D13:D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40FE0-937F-DE41-8737-8C29A80B9740}">
  <dimension ref="A1:D194"/>
  <sheetViews>
    <sheetView topLeftCell="A172" workbookViewId="0">
      <selection activeCell="B4" sqref="B4"/>
    </sheetView>
  </sheetViews>
  <sheetFormatPr defaultColWidth="8.85546875" defaultRowHeight="15"/>
  <cols>
    <col min="1" max="1" width="10.7109375" style="1" customWidth="1"/>
    <col min="2" max="2" width="53.7109375" style="1" customWidth="1"/>
    <col min="3" max="3" width="18.7109375" style="1" customWidth="1"/>
    <col min="4" max="4" width="16.140625" style="27" customWidth="1"/>
    <col min="5" max="16384" width="8.85546875" style="1"/>
  </cols>
  <sheetData>
    <row r="1" spans="1:4" ht="15.75">
      <c r="A1" s="120" t="s">
        <v>912</v>
      </c>
      <c r="B1" s="120"/>
      <c r="C1" s="45"/>
      <c r="D1" s="24"/>
    </row>
    <row r="2" spans="1:4">
      <c r="A2" s="121" t="s">
        <v>933</v>
      </c>
      <c r="B2" s="121"/>
      <c r="C2" s="45"/>
      <c r="D2" s="24"/>
    </row>
    <row r="3" spans="1:4">
      <c r="A3" s="4" t="s">
        <v>914</v>
      </c>
      <c r="B3" s="5" t="s">
        <v>1</v>
      </c>
      <c r="C3" s="4" t="s">
        <v>2</v>
      </c>
      <c r="D3" s="24" t="s">
        <v>915</v>
      </c>
    </row>
    <row r="4" spans="1:4">
      <c r="A4" s="46">
        <v>45997</v>
      </c>
      <c r="B4" s="115" t="s">
        <v>34</v>
      </c>
      <c r="C4" s="114" t="s">
        <v>35</v>
      </c>
      <c r="D4" s="119">
        <v>26245</v>
      </c>
    </row>
    <row r="5" spans="1:4">
      <c r="A5" s="46">
        <v>46008</v>
      </c>
      <c r="B5" s="115"/>
      <c r="C5" s="114"/>
      <c r="D5" s="119"/>
    </row>
    <row r="6" spans="1:4">
      <c r="A6" s="46">
        <v>45996</v>
      </c>
      <c r="B6" s="115" t="s">
        <v>37</v>
      </c>
      <c r="C6" s="114" t="s">
        <v>38</v>
      </c>
      <c r="D6" s="119">
        <v>100370</v>
      </c>
    </row>
    <row r="7" spans="1:4">
      <c r="A7" s="46">
        <v>46017</v>
      </c>
      <c r="B7" s="115"/>
      <c r="C7" s="114"/>
      <c r="D7" s="119"/>
    </row>
    <row r="8" spans="1:4">
      <c r="A8" s="46">
        <v>46020</v>
      </c>
      <c r="B8" s="115"/>
      <c r="C8" s="114"/>
      <c r="D8" s="119"/>
    </row>
    <row r="9" spans="1:4">
      <c r="A9" s="46">
        <v>46006</v>
      </c>
      <c r="B9" s="51" t="s">
        <v>39</v>
      </c>
      <c r="C9" s="34" t="s">
        <v>40</v>
      </c>
      <c r="D9" s="23">
        <v>8875</v>
      </c>
    </row>
    <row r="10" spans="1:4">
      <c r="A10" s="46">
        <v>45999</v>
      </c>
      <c r="B10" s="115" t="s">
        <v>50</v>
      </c>
      <c r="C10" s="114" t="s">
        <v>51</v>
      </c>
      <c r="D10" s="119">
        <v>49348</v>
      </c>
    </row>
    <row r="11" spans="1:4">
      <c r="A11" s="46">
        <v>46004</v>
      </c>
      <c r="B11" s="115"/>
      <c r="C11" s="114"/>
      <c r="D11" s="119"/>
    </row>
    <row r="12" spans="1:4">
      <c r="A12" s="46">
        <v>45992</v>
      </c>
      <c r="B12" s="115" t="s">
        <v>52</v>
      </c>
      <c r="C12" s="114"/>
      <c r="D12" s="119">
        <v>60260</v>
      </c>
    </row>
    <row r="13" spans="1:4">
      <c r="A13" s="46">
        <v>45993</v>
      </c>
      <c r="B13" s="115"/>
      <c r="C13" s="114"/>
      <c r="D13" s="119"/>
    </row>
    <row r="14" spans="1:4">
      <c r="A14" s="46">
        <v>46008</v>
      </c>
      <c r="B14" s="115"/>
      <c r="C14" s="114"/>
      <c r="D14" s="119"/>
    </row>
    <row r="15" spans="1:4">
      <c r="A15" s="46">
        <v>46009</v>
      </c>
      <c r="B15" s="115"/>
      <c r="C15" s="114"/>
      <c r="D15" s="119"/>
    </row>
    <row r="16" spans="1:4">
      <c r="A16" s="46">
        <v>46018</v>
      </c>
      <c r="B16" s="115"/>
      <c r="C16" s="114"/>
      <c r="D16" s="119"/>
    </row>
    <row r="17" spans="1:4">
      <c r="A17" s="46">
        <v>46013</v>
      </c>
      <c r="B17" s="51" t="s">
        <v>59</v>
      </c>
      <c r="C17" s="34" t="s">
        <v>60</v>
      </c>
      <c r="D17" s="23">
        <v>6800</v>
      </c>
    </row>
    <row r="18" spans="1:4">
      <c r="A18" s="46">
        <v>45993</v>
      </c>
      <c r="B18" s="115" t="s">
        <v>76</v>
      </c>
      <c r="C18" s="114" t="s">
        <v>77</v>
      </c>
      <c r="D18" s="119">
        <v>16700</v>
      </c>
    </row>
    <row r="19" spans="1:4">
      <c r="A19" s="46">
        <v>46003</v>
      </c>
      <c r="B19" s="115"/>
      <c r="C19" s="114"/>
      <c r="D19" s="119"/>
    </row>
    <row r="20" spans="1:4">
      <c r="A20" s="46">
        <v>46007</v>
      </c>
      <c r="B20" s="51" t="s">
        <v>78</v>
      </c>
      <c r="C20" s="34" t="s">
        <v>79</v>
      </c>
      <c r="D20" s="23">
        <v>23400</v>
      </c>
    </row>
    <row r="21" spans="1:4">
      <c r="A21" s="46">
        <v>46009</v>
      </c>
      <c r="B21" s="115" t="s">
        <v>80</v>
      </c>
      <c r="C21" s="114"/>
      <c r="D21" s="119">
        <v>8400</v>
      </c>
    </row>
    <row r="22" spans="1:4">
      <c r="A22" s="46">
        <v>46017</v>
      </c>
      <c r="B22" s="115"/>
      <c r="C22" s="114"/>
      <c r="D22" s="119"/>
    </row>
    <row r="23" spans="1:4">
      <c r="A23" s="46">
        <v>46020</v>
      </c>
      <c r="B23" s="51" t="s">
        <v>84</v>
      </c>
      <c r="C23" s="34" t="s">
        <v>85</v>
      </c>
      <c r="D23" s="23">
        <v>7000</v>
      </c>
    </row>
    <row r="24" spans="1:4">
      <c r="A24" s="46">
        <v>45997</v>
      </c>
      <c r="B24" s="51" t="s">
        <v>88</v>
      </c>
      <c r="C24" s="34" t="s">
        <v>89</v>
      </c>
      <c r="D24" s="23">
        <v>3300</v>
      </c>
    </row>
    <row r="25" spans="1:4">
      <c r="A25" s="46">
        <v>45994</v>
      </c>
      <c r="B25" s="115" t="s">
        <v>108</v>
      </c>
      <c r="C25" s="114" t="s">
        <v>109</v>
      </c>
      <c r="D25" s="119">
        <v>186811.25</v>
      </c>
    </row>
    <row r="26" spans="1:4">
      <c r="A26" s="46">
        <v>45996</v>
      </c>
      <c r="B26" s="115"/>
      <c r="C26" s="114"/>
      <c r="D26" s="119"/>
    </row>
    <row r="27" spans="1:4">
      <c r="A27" s="46">
        <v>46000</v>
      </c>
      <c r="B27" s="115"/>
      <c r="C27" s="114"/>
      <c r="D27" s="119"/>
    </row>
    <row r="28" spans="1:4">
      <c r="A28" s="46">
        <v>46001</v>
      </c>
      <c r="B28" s="115"/>
      <c r="C28" s="114"/>
      <c r="D28" s="119"/>
    </row>
    <row r="29" spans="1:4">
      <c r="A29" s="46">
        <v>46004</v>
      </c>
      <c r="B29" s="115"/>
      <c r="C29" s="114"/>
      <c r="D29" s="119"/>
    </row>
    <row r="30" spans="1:4">
      <c r="A30" s="46">
        <v>46010</v>
      </c>
      <c r="B30" s="115"/>
      <c r="C30" s="114"/>
      <c r="D30" s="119"/>
    </row>
    <row r="31" spans="1:4">
      <c r="A31" s="46">
        <v>46015</v>
      </c>
      <c r="B31" s="115"/>
      <c r="C31" s="114"/>
      <c r="D31" s="119"/>
    </row>
    <row r="32" spans="1:4">
      <c r="A32" s="46">
        <v>46017</v>
      </c>
      <c r="B32" s="115"/>
      <c r="C32" s="114"/>
      <c r="D32" s="119"/>
    </row>
    <row r="33" spans="1:4">
      <c r="A33" s="46">
        <v>46021</v>
      </c>
      <c r="B33" s="115"/>
      <c r="C33" s="114"/>
      <c r="D33" s="119"/>
    </row>
    <row r="34" spans="1:4">
      <c r="A34" s="46">
        <v>46003</v>
      </c>
      <c r="B34" s="115" t="s">
        <v>110</v>
      </c>
      <c r="C34" s="114" t="s">
        <v>111</v>
      </c>
      <c r="D34" s="119">
        <v>159670</v>
      </c>
    </row>
    <row r="35" spans="1:4">
      <c r="A35" s="46">
        <v>46008</v>
      </c>
      <c r="B35" s="115"/>
      <c r="C35" s="114"/>
      <c r="D35" s="119"/>
    </row>
    <row r="36" spans="1:4">
      <c r="A36" s="46">
        <v>46017</v>
      </c>
      <c r="B36" s="115"/>
      <c r="C36" s="114"/>
      <c r="D36" s="119"/>
    </row>
    <row r="37" spans="1:4">
      <c r="A37" s="46">
        <v>46018</v>
      </c>
      <c r="B37" s="115"/>
      <c r="C37" s="114"/>
      <c r="D37" s="119"/>
    </row>
    <row r="38" spans="1:4">
      <c r="A38" s="46">
        <v>46018</v>
      </c>
      <c r="B38" s="51" t="s">
        <v>115</v>
      </c>
      <c r="C38" s="34"/>
      <c r="D38" s="23">
        <v>4730</v>
      </c>
    </row>
    <row r="39" spans="1:4">
      <c r="A39" s="46">
        <v>45992</v>
      </c>
      <c r="B39" s="115" t="s">
        <v>136</v>
      </c>
      <c r="C39" s="114" t="s">
        <v>137</v>
      </c>
      <c r="D39" s="119">
        <v>72320</v>
      </c>
    </row>
    <row r="40" spans="1:4">
      <c r="A40" s="46">
        <v>45993</v>
      </c>
      <c r="B40" s="115"/>
      <c r="C40" s="114"/>
      <c r="D40" s="119"/>
    </row>
    <row r="41" spans="1:4">
      <c r="A41" s="46">
        <v>46000</v>
      </c>
      <c r="B41" s="115"/>
      <c r="C41" s="114"/>
      <c r="D41" s="119"/>
    </row>
    <row r="42" spans="1:4">
      <c r="A42" s="46">
        <v>46001</v>
      </c>
      <c r="B42" s="115"/>
      <c r="C42" s="114"/>
      <c r="D42" s="119"/>
    </row>
    <row r="43" spans="1:4">
      <c r="A43" s="46">
        <v>46015</v>
      </c>
      <c r="B43" s="115"/>
      <c r="C43" s="114"/>
      <c r="D43" s="119"/>
    </row>
    <row r="44" spans="1:4">
      <c r="A44" s="46">
        <v>46000</v>
      </c>
      <c r="B44" s="115" t="s">
        <v>145</v>
      </c>
      <c r="C44" s="114" t="s">
        <v>146</v>
      </c>
      <c r="D44" s="119">
        <v>237700</v>
      </c>
    </row>
    <row r="45" spans="1:4">
      <c r="A45" s="46">
        <v>46008</v>
      </c>
      <c r="B45" s="115"/>
      <c r="C45" s="114"/>
      <c r="D45" s="119"/>
    </row>
    <row r="46" spans="1:4">
      <c r="A46" s="46">
        <v>46011</v>
      </c>
      <c r="B46" s="115"/>
      <c r="C46" s="114"/>
      <c r="D46" s="119"/>
    </row>
    <row r="47" spans="1:4">
      <c r="A47" s="46">
        <v>46014</v>
      </c>
      <c r="B47" s="115" t="s">
        <v>147</v>
      </c>
      <c r="C47" s="114" t="s">
        <v>148</v>
      </c>
      <c r="D47" s="119">
        <v>14239</v>
      </c>
    </row>
    <row r="48" spans="1:4">
      <c r="A48" s="46">
        <v>46014</v>
      </c>
      <c r="B48" s="115"/>
      <c r="C48" s="114"/>
      <c r="D48" s="119"/>
    </row>
    <row r="49" spans="1:4">
      <c r="A49" s="46">
        <v>45999</v>
      </c>
      <c r="B49" s="51" t="s">
        <v>155</v>
      </c>
      <c r="C49" s="34"/>
      <c r="D49" s="23">
        <v>4200</v>
      </c>
    </row>
    <row r="50" spans="1:4">
      <c r="A50" s="46">
        <v>45995</v>
      </c>
      <c r="B50" s="51" t="s">
        <v>930</v>
      </c>
      <c r="C50" s="34"/>
      <c r="D50" s="23">
        <v>562.5</v>
      </c>
    </row>
    <row r="51" spans="1:4">
      <c r="A51" s="46">
        <v>46006</v>
      </c>
      <c r="B51" s="51" t="s">
        <v>182</v>
      </c>
      <c r="C51" s="34"/>
      <c r="D51" s="23">
        <v>1800</v>
      </c>
    </row>
    <row r="52" spans="1:4">
      <c r="A52" s="46">
        <v>46016</v>
      </c>
      <c r="B52" s="51" t="s">
        <v>200</v>
      </c>
      <c r="C52" s="34" t="s">
        <v>201</v>
      </c>
      <c r="D52" s="23">
        <v>4200</v>
      </c>
    </row>
    <row r="53" spans="1:4">
      <c r="A53" s="46">
        <v>45996</v>
      </c>
      <c r="B53" s="51" t="s">
        <v>210</v>
      </c>
      <c r="C53" s="34" t="s">
        <v>211</v>
      </c>
      <c r="D53" s="23">
        <v>18500</v>
      </c>
    </row>
    <row r="54" spans="1:4">
      <c r="A54" s="46">
        <v>45996</v>
      </c>
      <c r="B54" s="115" t="s">
        <v>213</v>
      </c>
      <c r="C54" s="114" t="s">
        <v>214</v>
      </c>
      <c r="D54" s="119">
        <v>106500</v>
      </c>
    </row>
    <row r="55" spans="1:4">
      <c r="A55" s="46">
        <v>46006</v>
      </c>
      <c r="B55" s="115"/>
      <c r="C55" s="114"/>
      <c r="D55" s="119"/>
    </row>
    <row r="56" spans="1:4">
      <c r="A56" s="46">
        <v>46008</v>
      </c>
      <c r="B56" s="115"/>
      <c r="C56" s="114"/>
      <c r="D56" s="119"/>
    </row>
    <row r="57" spans="1:4">
      <c r="A57" s="46">
        <v>45994</v>
      </c>
      <c r="B57" s="51" t="s">
        <v>217</v>
      </c>
      <c r="C57" s="34" t="s">
        <v>218</v>
      </c>
      <c r="D57" s="23">
        <v>19500</v>
      </c>
    </row>
    <row r="58" spans="1:4">
      <c r="A58" s="46">
        <v>46008</v>
      </c>
      <c r="B58" s="51" t="s">
        <v>221</v>
      </c>
      <c r="C58" s="34"/>
      <c r="D58" s="23">
        <v>12060</v>
      </c>
    </row>
    <row r="59" spans="1:4">
      <c r="A59" s="46">
        <v>45997</v>
      </c>
      <c r="B59" s="115" t="s">
        <v>247</v>
      </c>
      <c r="C59" s="114"/>
      <c r="D59" s="119">
        <v>74250</v>
      </c>
    </row>
    <row r="60" spans="1:4">
      <c r="A60" s="46">
        <v>46021</v>
      </c>
      <c r="B60" s="115"/>
      <c r="C60" s="114"/>
      <c r="D60" s="119"/>
    </row>
    <row r="61" spans="1:4">
      <c r="A61" s="46">
        <v>45996</v>
      </c>
      <c r="B61" s="51" t="s">
        <v>250</v>
      </c>
      <c r="C61" s="34" t="s">
        <v>251</v>
      </c>
      <c r="D61" s="23">
        <v>22719.3</v>
      </c>
    </row>
    <row r="62" spans="1:4">
      <c r="A62" s="46">
        <v>46002</v>
      </c>
      <c r="B62" s="51" t="s">
        <v>253</v>
      </c>
      <c r="C62" s="34" t="s">
        <v>254</v>
      </c>
      <c r="D62" s="23">
        <v>5850</v>
      </c>
    </row>
    <row r="63" spans="1:4">
      <c r="A63" s="46">
        <v>46002</v>
      </c>
      <c r="B63" s="51" t="s">
        <v>260</v>
      </c>
      <c r="C63" s="34" t="s">
        <v>261</v>
      </c>
      <c r="D63" s="23">
        <v>2600</v>
      </c>
    </row>
    <row r="64" spans="1:4">
      <c r="A64" s="46">
        <v>46000</v>
      </c>
      <c r="B64" s="115" t="s">
        <v>273</v>
      </c>
      <c r="C64" s="114" t="s">
        <v>274</v>
      </c>
      <c r="D64" s="119">
        <v>288600</v>
      </c>
    </row>
    <row r="65" spans="1:4">
      <c r="A65" s="46">
        <v>46014</v>
      </c>
      <c r="B65" s="115"/>
      <c r="C65" s="114"/>
      <c r="D65" s="119"/>
    </row>
    <row r="66" spans="1:4">
      <c r="A66" s="46">
        <v>46016</v>
      </c>
      <c r="B66" s="115"/>
      <c r="C66" s="114"/>
      <c r="D66" s="119"/>
    </row>
    <row r="67" spans="1:4">
      <c r="A67" s="46">
        <v>46015</v>
      </c>
      <c r="B67" s="51" t="s">
        <v>284</v>
      </c>
      <c r="C67" s="34"/>
      <c r="D67" s="23">
        <v>880</v>
      </c>
    </row>
    <row r="68" spans="1:4">
      <c r="A68" s="46">
        <v>45993</v>
      </c>
      <c r="B68" s="115" t="s">
        <v>288</v>
      </c>
      <c r="C68" s="114" t="s">
        <v>289</v>
      </c>
      <c r="D68" s="119">
        <v>16885</v>
      </c>
    </row>
    <row r="69" spans="1:4">
      <c r="A69" s="46">
        <v>46003</v>
      </c>
      <c r="B69" s="115"/>
      <c r="C69" s="114"/>
      <c r="D69" s="119"/>
    </row>
    <row r="70" spans="1:4">
      <c r="A70" s="46">
        <v>46003</v>
      </c>
      <c r="B70" s="115"/>
      <c r="C70" s="114"/>
      <c r="D70" s="119"/>
    </row>
    <row r="71" spans="1:4">
      <c r="A71" s="46">
        <v>46017</v>
      </c>
      <c r="B71" s="51" t="s">
        <v>291</v>
      </c>
      <c r="C71" s="34" t="s">
        <v>292</v>
      </c>
      <c r="D71" s="23">
        <v>36500</v>
      </c>
    </row>
    <row r="72" spans="1:4">
      <c r="A72" s="46">
        <v>46006</v>
      </c>
      <c r="B72" s="51" t="s">
        <v>303</v>
      </c>
      <c r="C72" s="34" t="s">
        <v>304</v>
      </c>
      <c r="D72" s="23">
        <v>156320</v>
      </c>
    </row>
    <row r="73" spans="1:4">
      <c r="A73" s="46">
        <v>46004</v>
      </c>
      <c r="B73" s="51" t="s">
        <v>309</v>
      </c>
      <c r="C73" s="34" t="s">
        <v>310</v>
      </c>
      <c r="D73" s="23">
        <v>2200</v>
      </c>
    </row>
    <row r="74" spans="1:4">
      <c r="A74" s="46">
        <v>46002</v>
      </c>
      <c r="B74" s="51" t="s">
        <v>316</v>
      </c>
      <c r="C74" s="34" t="s">
        <v>317</v>
      </c>
      <c r="D74" s="23">
        <v>18000</v>
      </c>
    </row>
    <row r="75" spans="1:4">
      <c r="A75" s="46">
        <v>45999</v>
      </c>
      <c r="B75" s="51" t="s">
        <v>318</v>
      </c>
      <c r="C75" s="34"/>
      <c r="D75" s="23">
        <v>5850</v>
      </c>
    </row>
    <row r="76" spans="1:4">
      <c r="A76" s="46">
        <v>46010</v>
      </c>
      <c r="B76" s="115" t="s">
        <v>319</v>
      </c>
      <c r="C76" s="114" t="s">
        <v>320</v>
      </c>
      <c r="D76" s="119">
        <v>13666.5</v>
      </c>
    </row>
    <row r="77" spans="1:4">
      <c r="A77" s="46">
        <v>46020</v>
      </c>
      <c r="B77" s="115"/>
      <c r="C77" s="114"/>
      <c r="D77" s="119"/>
    </row>
    <row r="78" spans="1:4">
      <c r="A78" s="46">
        <v>46017</v>
      </c>
      <c r="B78" s="51" t="s">
        <v>321</v>
      </c>
      <c r="C78" s="34" t="s">
        <v>322</v>
      </c>
      <c r="D78" s="23">
        <v>65500</v>
      </c>
    </row>
    <row r="79" spans="1:4">
      <c r="A79" s="46">
        <v>46004</v>
      </c>
      <c r="B79" s="115" t="s">
        <v>333</v>
      </c>
      <c r="C79" s="114"/>
      <c r="D79" s="119">
        <v>24313</v>
      </c>
    </row>
    <row r="80" spans="1:4">
      <c r="A80" s="46">
        <v>46007</v>
      </c>
      <c r="B80" s="115"/>
      <c r="C80" s="114"/>
      <c r="D80" s="119"/>
    </row>
    <row r="81" spans="1:4">
      <c r="A81" s="46">
        <v>46000</v>
      </c>
      <c r="B81" s="51" t="s">
        <v>338</v>
      </c>
      <c r="C81" s="34" t="s">
        <v>339</v>
      </c>
      <c r="D81" s="23">
        <v>3920</v>
      </c>
    </row>
    <row r="82" spans="1:4">
      <c r="A82" s="46">
        <v>45999</v>
      </c>
      <c r="B82" s="51" t="s">
        <v>350</v>
      </c>
      <c r="C82" s="34" t="s">
        <v>347</v>
      </c>
      <c r="D82" s="23">
        <v>6820</v>
      </c>
    </row>
    <row r="83" spans="1:4">
      <c r="A83" s="46">
        <v>46009</v>
      </c>
      <c r="B83" s="51" t="s">
        <v>351</v>
      </c>
      <c r="C83" s="34" t="s">
        <v>352</v>
      </c>
      <c r="D83" s="23">
        <v>11320</v>
      </c>
    </row>
    <row r="84" spans="1:4">
      <c r="A84" s="46">
        <v>46016</v>
      </c>
      <c r="B84" s="115" t="s">
        <v>353</v>
      </c>
      <c r="C84" s="114" t="s">
        <v>354</v>
      </c>
      <c r="D84" s="119">
        <v>15395</v>
      </c>
    </row>
    <row r="85" spans="1:4">
      <c r="A85" s="46">
        <v>46018</v>
      </c>
      <c r="B85" s="115"/>
      <c r="C85" s="114"/>
      <c r="D85" s="119"/>
    </row>
    <row r="86" spans="1:4">
      <c r="A86" s="46">
        <v>46018</v>
      </c>
      <c r="B86" s="115"/>
      <c r="C86" s="114"/>
      <c r="D86" s="119"/>
    </row>
    <row r="87" spans="1:4">
      <c r="A87" s="46">
        <v>45995</v>
      </c>
      <c r="B87" s="115" t="s">
        <v>357</v>
      </c>
      <c r="C87" s="114" t="s">
        <v>358</v>
      </c>
      <c r="D87" s="119">
        <v>19101</v>
      </c>
    </row>
    <row r="88" spans="1:4">
      <c r="A88" s="46">
        <v>46004</v>
      </c>
      <c r="B88" s="115"/>
      <c r="C88" s="114"/>
      <c r="D88" s="119"/>
    </row>
    <row r="89" spans="1:4">
      <c r="A89" s="46">
        <v>46010</v>
      </c>
      <c r="B89" s="115" t="s">
        <v>361</v>
      </c>
      <c r="C89" s="114" t="s">
        <v>362</v>
      </c>
      <c r="D89" s="119">
        <v>106666</v>
      </c>
    </row>
    <row r="90" spans="1:4">
      <c r="A90" s="46">
        <v>46010</v>
      </c>
      <c r="B90" s="115"/>
      <c r="C90" s="114"/>
      <c r="D90" s="119"/>
    </row>
    <row r="91" spans="1:4">
      <c r="A91" s="46">
        <v>46016</v>
      </c>
      <c r="B91" s="115" t="s">
        <v>400</v>
      </c>
      <c r="C91" s="114" t="s">
        <v>401</v>
      </c>
      <c r="D91" s="119">
        <v>40000</v>
      </c>
    </row>
    <row r="92" spans="1:4">
      <c r="A92" s="46">
        <v>46018</v>
      </c>
      <c r="B92" s="115"/>
      <c r="C92" s="114"/>
      <c r="D92" s="119"/>
    </row>
    <row r="93" spans="1:4">
      <c r="A93" s="46">
        <v>45996</v>
      </c>
      <c r="B93" s="51" t="s">
        <v>402</v>
      </c>
      <c r="C93" s="34" t="s">
        <v>403</v>
      </c>
      <c r="D93" s="23">
        <v>7900</v>
      </c>
    </row>
    <row r="94" spans="1:4">
      <c r="A94" s="46">
        <v>45997</v>
      </c>
      <c r="B94" s="51" t="s">
        <v>416</v>
      </c>
      <c r="C94" s="34" t="s">
        <v>417</v>
      </c>
      <c r="D94" s="23">
        <v>66000</v>
      </c>
    </row>
    <row r="95" spans="1:4">
      <c r="A95" s="46">
        <v>45994</v>
      </c>
      <c r="B95" s="51" t="s">
        <v>421</v>
      </c>
      <c r="C95" s="34" t="s">
        <v>422</v>
      </c>
      <c r="D95" s="23">
        <v>54200</v>
      </c>
    </row>
    <row r="96" spans="1:4">
      <c r="A96" s="46">
        <v>45995</v>
      </c>
      <c r="B96" s="115" t="s">
        <v>427</v>
      </c>
      <c r="C96" s="114" t="s">
        <v>428</v>
      </c>
      <c r="D96" s="119">
        <v>101250</v>
      </c>
    </row>
    <row r="97" spans="1:4">
      <c r="A97" s="46">
        <v>46000</v>
      </c>
      <c r="B97" s="115"/>
      <c r="C97" s="114"/>
      <c r="D97" s="119"/>
    </row>
    <row r="98" spans="1:4">
      <c r="A98" s="46">
        <v>46007</v>
      </c>
      <c r="B98" s="51" t="s">
        <v>431</v>
      </c>
      <c r="C98" s="34" t="s">
        <v>432</v>
      </c>
      <c r="D98" s="23">
        <v>7200</v>
      </c>
    </row>
    <row r="99" spans="1:4">
      <c r="A99" s="46">
        <v>46015</v>
      </c>
      <c r="B99" s="115" t="s">
        <v>444</v>
      </c>
      <c r="C99" s="114" t="s">
        <v>445</v>
      </c>
      <c r="D99" s="119">
        <v>5735</v>
      </c>
    </row>
    <row r="100" spans="1:4">
      <c r="A100" s="46">
        <v>46021</v>
      </c>
      <c r="B100" s="115"/>
      <c r="C100" s="114"/>
      <c r="D100" s="119"/>
    </row>
    <row r="101" spans="1:4">
      <c r="A101" s="46">
        <v>45996</v>
      </c>
      <c r="B101" s="51" t="s">
        <v>446</v>
      </c>
      <c r="C101" s="34" t="s">
        <v>447</v>
      </c>
      <c r="D101" s="23">
        <v>13000</v>
      </c>
    </row>
    <row r="102" spans="1:4">
      <c r="A102" s="46">
        <v>45994</v>
      </c>
      <c r="B102" s="51" t="s">
        <v>462</v>
      </c>
      <c r="C102" s="34" t="s">
        <v>463</v>
      </c>
      <c r="D102" s="23">
        <v>6900</v>
      </c>
    </row>
    <row r="103" spans="1:4">
      <c r="A103" s="46">
        <v>46009</v>
      </c>
      <c r="B103" s="51" t="s">
        <v>464</v>
      </c>
      <c r="C103" s="34" t="s">
        <v>465</v>
      </c>
      <c r="D103" s="23">
        <v>7000</v>
      </c>
    </row>
    <row r="104" spans="1:4">
      <c r="A104" s="46">
        <v>46000</v>
      </c>
      <c r="B104" s="51" t="s">
        <v>474</v>
      </c>
      <c r="C104" s="34" t="s">
        <v>475</v>
      </c>
      <c r="D104" s="23">
        <v>36153</v>
      </c>
    </row>
    <row r="105" spans="1:4">
      <c r="A105" s="46">
        <v>46004</v>
      </c>
      <c r="B105" s="51" t="s">
        <v>481</v>
      </c>
      <c r="C105" s="34" t="s">
        <v>482</v>
      </c>
      <c r="D105" s="23">
        <v>20175</v>
      </c>
    </row>
    <row r="106" spans="1:4">
      <c r="A106" s="46">
        <v>45994</v>
      </c>
      <c r="B106" s="51" t="s">
        <v>492</v>
      </c>
      <c r="C106" s="34"/>
      <c r="D106" s="23">
        <v>9281.25</v>
      </c>
    </row>
    <row r="107" spans="1:4">
      <c r="A107" s="46">
        <v>46000</v>
      </c>
      <c r="B107" s="115" t="s">
        <v>501</v>
      </c>
      <c r="C107" s="114" t="s">
        <v>502</v>
      </c>
      <c r="D107" s="119">
        <v>45900</v>
      </c>
    </row>
    <row r="108" spans="1:4">
      <c r="A108" s="46">
        <v>46017</v>
      </c>
      <c r="B108" s="115"/>
      <c r="C108" s="114"/>
      <c r="D108" s="119"/>
    </row>
    <row r="109" spans="1:4">
      <c r="A109" s="46">
        <v>46000</v>
      </c>
      <c r="B109" s="51" t="s">
        <v>503</v>
      </c>
      <c r="C109" s="34" t="s">
        <v>504</v>
      </c>
      <c r="D109" s="23">
        <v>44880</v>
      </c>
    </row>
    <row r="110" spans="1:4">
      <c r="A110" s="46">
        <v>45994</v>
      </c>
      <c r="B110" s="51" t="s">
        <v>516</v>
      </c>
      <c r="C110" s="34"/>
      <c r="D110" s="23">
        <v>47400</v>
      </c>
    </row>
    <row r="111" spans="1:4">
      <c r="A111" s="46">
        <v>46017</v>
      </c>
      <c r="B111" s="51" t="s">
        <v>521</v>
      </c>
      <c r="C111" s="34" t="s">
        <v>522</v>
      </c>
      <c r="D111" s="23">
        <v>10290</v>
      </c>
    </row>
    <row r="112" spans="1:4">
      <c r="A112" s="46">
        <v>45992</v>
      </c>
      <c r="B112" s="115" t="s">
        <v>526</v>
      </c>
      <c r="C112" s="114" t="s">
        <v>527</v>
      </c>
      <c r="D112" s="119">
        <v>37259</v>
      </c>
    </row>
    <row r="113" spans="1:4">
      <c r="A113" s="46">
        <v>45997</v>
      </c>
      <c r="B113" s="115"/>
      <c r="C113" s="114"/>
      <c r="D113" s="119"/>
    </row>
    <row r="114" spans="1:4">
      <c r="A114" s="46">
        <v>46011</v>
      </c>
      <c r="B114" s="51" t="s">
        <v>528</v>
      </c>
      <c r="C114" s="34" t="s">
        <v>529</v>
      </c>
      <c r="D114" s="23">
        <v>7200</v>
      </c>
    </row>
    <row r="115" spans="1:4">
      <c r="A115" s="46">
        <v>46016</v>
      </c>
      <c r="B115" s="51" t="s">
        <v>530</v>
      </c>
      <c r="C115" s="34" t="s">
        <v>531</v>
      </c>
      <c r="D115" s="23">
        <v>21300</v>
      </c>
    </row>
    <row r="116" spans="1:4">
      <c r="A116" s="46">
        <v>45992</v>
      </c>
      <c r="B116" s="115" t="s">
        <v>540</v>
      </c>
      <c r="C116" s="114" t="s">
        <v>541</v>
      </c>
      <c r="D116" s="119">
        <v>10200</v>
      </c>
    </row>
    <row r="117" spans="1:4">
      <c r="A117" s="46">
        <v>46006</v>
      </c>
      <c r="B117" s="115"/>
      <c r="C117" s="114"/>
      <c r="D117" s="119"/>
    </row>
    <row r="118" spans="1:4">
      <c r="A118" s="46">
        <v>46001</v>
      </c>
      <c r="B118" s="115" t="s">
        <v>545</v>
      </c>
      <c r="C118" s="114" t="s">
        <v>546</v>
      </c>
      <c r="D118" s="119">
        <v>8800</v>
      </c>
    </row>
    <row r="119" spans="1:4">
      <c r="A119" s="46">
        <v>46014</v>
      </c>
      <c r="B119" s="115"/>
      <c r="C119" s="114"/>
      <c r="D119" s="119"/>
    </row>
    <row r="120" spans="1:4">
      <c r="A120" s="46">
        <v>46009</v>
      </c>
      <c r="B120" s="115" t="s">
        <v>550</v>
      </c>
      <c r="C120" s="114" t="s">
        <v>551</v>
      </c>
      <c r="D120" s="119">
        <v>6200</v>
      </c>
    </row>
    <row r="121" spans="1:4">
      <c r="A121" s="46">
        <v>46010</v>
      </c>
      <c r="B121" s="115"/>
      <c r="C121" s="114"/>
      <c r="D121" s="119"/>
    </row>
    <row r="122" spans="1:4">
      <c r="A122" s="46">
        <v>45992</v>
      </c>
      <c r="B122" s="115" t="s">
        <v>552</v>
      </c>
      <c r="C122" s="114" t="s">
        <v>553</v>
      </c>
      <c r="D122" s="119">
        <v>67650</v>
      </c>
    </row>
    <row r="123" spans="1:4">
      <c r="A123" s="46">
        <v>45993</v>
      </c>
      <c r="B123" s="115"/>
      <c r="C123" s="114"/>
      <c r="D123" s="119"/>
    </row>
    <row r="124" spans="1:4">
      <c r="A124" s="46">
        <v>46006</v>
      </c>
      <c r="B124" s="115"/>
      <c r="C124" s="114"/>
      <c r="D124" s="119"/>
    </row>
    <row r="125" spans="1:4">
      <c r="A125" s="46">
        <v>45999</v>
      </c>
      <c r="B125" s="51" t="s">
        <v>556</v>
      </c>
      <c r="C125" s="34" t="s">
        <v>557</v>
      </c>
      <c r="D125" s="23">
        <v>12000</v>
      </c>
    </row>
    <row r="126" spans="1:4">
      <c r="A126" s="46">
        <v>46006</v>
      </c>
      <c r="B126" s="51" t="s">
        <v>564</v>
      </c>
      <c r="C126" s="34"/>
      <c r="D126" s="23">
        <v>16301</v>
      </c>
    </row>
    <row r="127" spans="1:4">
      <c r="A127" s="46">
        <v>46002</v>
      </c>
      <c r="B127" s="115" t="s">
        <v>565</v>
      </c>
      <c r="C127" s="114" t="s">
        <v>566</v>
      </c>
      <c r="D127" s="119">
        <v>10520</v>
      </c>
    </row>
    <row r="128" spans="1:4">
      <c r="A128" s="46">
        <v>46015</v>
      </c>
      <c r="B128" s="115"/>
      <c r="C128" s="114"/>
      <c r="D128" s="119"/>
    </row>
    <row r="129" spans="1:4">
      <c r="A129" s="46">
        <v>46021</v>
      </c>
      <c r="B129" s="51" t="s">
        <v>570</v>
      </c>
      <c r="C129" s="34" t="s">
        <v>571</v>
      </c>
      <c r="D129" s="23">
        <v>51000</v>
      </c>
    </row>
    <row r="130" spans="1:4">
      <c r="A130" s="46">
        <v>46010</v>
      </c>
      <c r="B130" s="51" t="s">
        <v>583</v>
      </c>
      <c r="C130" s="34" t="s">
        <v>584</v>
      </c>
      <c r="D130" s="23">
        <v>39000</v>
      </c>
    </row>
    <row r="131" spans="1:4">
      <c r="A131" s="46">
        <v>45999</v>
      </c>
      <c r="B131" s="115" t="s">
        <v>586</v>
      </c>
      <c r="C131" s="114" t="s">
        <v>587</v>
      </c>
      <c r="D131" s="119">
        <v>13500</v>
      </c>
    </row>
    <row r="132" spans="1:4">
      <c r="A132" s="46">
        <v>46014</v>
      </c>
      <c r="B132" s="115"/>
      <c r="C132" s="114"/>
      <c r="D132" s="119"/>
    </row>
    <row r="133" spans="1:4">
      <c r="A133" s="46">
        <v>46003</v>
      </c>
      <c r="B133" s="115" t="s">
        <v>627</v>
      </c>
      <c r="C133" s="114" t="s">
        <v>628</v>
      </c>
      <c r="D133" s="119">
        <v>21650</v>
      </c>
    </row>
    <row r="134" spans="1:4">
      <c r="A134" s="46">
        <v>46003</v>
      </c>
      <c r="B134" s="115"/>
      <c r="C134" s="114"/>
      <c r="D134" s="119"/>
    </row>
    <row r="135" spans="1:4">
      <c r="A135" s="46">
        <v>46017</v>
      </c>
      <c r="B135" s="115"/>
      <c r="C135" s="114"/>
      <c r="D135" s="119"/>
    </row>
    <row r="136" spans="1:4">
      <c r="A136" s="46">
        <v>46021</v>
      </c>
      <c r="B136" s="51" t="s">
        <v>632</v>
      </c>
      <c r="C136" s="34" t="s">
        <v>633</v>
      </c>
      <c r="D136" s="23">
        <v>7800</v>
      </c>
    </row>
    <row r="137" spans="1:4">
      <c r="A137" s="46">
        <v>46010</v>
      </c>
      <c r="B137" s="115" t="s">
        <v>647</v>
      </c>
      <c r="C137" s="114" t="s">
        <v>648</v>
      </c>
      <c r="D137" s="119">
        <v>264000</v>
      </c>
    </row>
    <row r="138" spans="1:4">
      <c r="A138" s="46">
        <v>46013</v>
      </c>
      <c r="B138" s="115"/>
      <c r="C138" s="114"/>
      <c r="D138" s="119"/>
    </row>
    <row r="139" spans="1:4">
      <c r="A139" s="46">
        <v>45993</v>
      </c>
      <c r="B139" s="115" t="s">
        <v>655</v>
      </c>
      <c r="C139" s="114" t="s">
        <v>656</v>
      </c>
      <c r="D139" s="119">
        <v>46150</v>
      </c>
    </row>
    <row r="140" spans="1:4">
      <c r="A140" s="46">
        <v>46008</v>
      </c>
      <c r="B140" s="115"/>
      <c r="C140" s="114"/>
      <c r="D140" s="119"/>
    </row>
    <row r="141" spans="1:4">
      <c r="A141" s="46">
        <v>46015</v>
      </c>
      <c r="B141" s="115"/>
      <c r="C141" s="114"/>
      <c r="D141" s="119"/>
    </row>
    <row r="142" spans="1:4">
      <c r="A142" s="46">
        <v>46001</v>
      </c>
      <c r="B142" s="51" t="s">
        <v>662</v>
      </c>
      <c r="C142" s="34" t="s">
        <v>663</v>
      </c>
      <c r="D142" s="23">
        <v>4200</v>
      </c>
    </row>
    <row r="143" spans="1:4">
      <c r="A143" s="46">
        <v>46013</v>
      </c>
      <c r="B143" s="51" t="s">
        <v>668</v>
      </c>
      <c r="C143" s="34" t="s">
        <v>669</v>
      </c>
      <c r="D143" s="23">
        <v>7000</v>
      </c>
    </row>
    <row r="144" spans="1:4">
      <c r="A144" s="46">
        <v>45995</v>
      </c>
      <c r="B144" s="51" t="s">
        <v>687</v>
      </c>
      <c r="C144" s="34" t="s">
        <v>688</v>
      </c>
      <c r="D144" s="23">
        <v>18000</v>
      </c>
    </row>
    <row r="145" spans="1:4">
      <c r="A145" s="46">
        <v>46010</v>
      </c>
      <c r="B145" s="115" t="s">
        <v>693</v>
      </c>
      <c r="C145" s="114" t="s">
        <v>694</v>
      </c>
      <c r="D145" s="119">
        <v>34800</v>
      </c>
    </row>
    <row r="146" spans="1:4">
      <c r="A146" s="46">
        <v>46011</v>
      </c>
      <c r="B146" s="115"/>
      <c r="C146" s="114"/>
      <c r="D146" s="119"/>
    </row>
    <row r="147" spans="1:4">
      <c r="A147" s="46">
        <v>46020</v>
      </c>
      <c r="B147" s="115"/>
      <c r="C147" s="114"/>
      <c r="D147" s="119"/>
    </row>
    <row r="148" spans="1:4">
      <c r="A148" s="46">
        <v>45995</v>
      </c>
      <c r="B148" s="51" t="s">
        <v>702</v>
      </c>
      <c r="C148" s="34"/>
      <c r="D148" s="23">
        <v>6000</v>
      </c>
    </row>
    <row r="149" spans="1:4">
      <c r="A149" s="46">
        <v>45999</v>
      </c>
      <c r="B149" s="51" t="s">
        <v>705</v>
      </c>
      <c r="C149" s="34" t="s">
        <v>706</v>
      </c>
      <c r="D149" s="23">
        <v>1960</v>
      </c>
    </row>
    <row r="150" spans="1:4">
      <c r="A150" s="46">
        <v>46004</v>
      </c>
      <c r="B150" s="115" t="s">
        <v>714</v>
      </c>
      <c r="C150" s="114" t="s">
        <v>715</v>
      </c>
      <c r="D150" s="119">
        <v>1980</v>
      </c>
    </row>
    <row r="151" spans="1:4">
      <c r="A151" s="46">
        <v>46006</v>
      </c>
      <c r="B151" s="115"/>
      <c r="C151" s="114"/>
      <c r="D151" s="119"/>
    </row>
    <row r="152" spans="1:4">
      <c r="A152" s="46">
        <v>46017</v>
      </c>
      <c r="B152" s="51" t="s">
        <v>725</v>
      </c>
      <c r="C152" s="34" t="s">
        <v>726</v>
      </c>
      <c r="D152" s="23">
        <v>32400</v>
      </c>
    </row>
    <row r="153" spans="1:4">
      <c r="A153" s="46">
        <v>46010</v>
      </c>
      <c r="B153" s="51" t="s">
        <v>738</v>
      </c>
      <c r="C153" s="34" t="s">
        <v>739</v>
      </c>
      <c r="D153" s="23">
        <v>53420</v>
      </c>
    </row>
    <row r="154" spans="1:4">
      <c r="A154" s="46">
        <v>45994</v>
      </c>
      <c r="B154" s="51" t="s">
        <v>760</v>
      </c>
      <c r="C154" s="34" t="s">
        <v>761</v>
      </c>
      <c r="D154" s="23">
        <v>160912.5</v>
      </c>
    </row>
    <row r="155" spans="1:4">
      <c r="A155" s="46">
        <v>46021</v>
      </c>
      <c r="B155" s="51" t="s">
        <v>764</v>
      </c>
      <c r="C155" s="34" t="s">
        <v>765</v>
      </c>
      <c r="D155" s="23">
        <v>8000</v>
      </c>
    </row>
    <row r="156" spans="1:4">
      <c r="A156" s="46">
        <v>45997</v>
      </c>
      <c r="B156" s="51" t="s">
        <v>768</v>
      </c>
      <c r="C156" s="34"/>
      <c r="D156" s="23">
        <v>1810</v>
      </c>
    </row>
    <row r="157" spans="1:4">
      <c r="A157" s="46">
        <v>45997</v>
      </c>
      <c r="B157" s="115" t="s">
        <v>776</v>
      </c>
      <c r="C157" s="114" t="s">
        <v>777</v>
      </c>
      <c r="D157" s="119">
        <v>63485</v>
      </c>
    </row>
    <row r="158" spans="1:4">
      <c r="A158" s="46">
        <v>46003</v>
      </c>
      <c r="B158" s="115"/>
      <c r="C158" s="114"/>
      <c r="D158" s="119"/>
    </row>
    <row r="159" spans="1:4">
      <c r="A159" s="46">
        <v>46006</v>
      </c>
      <c r="B159" s="115"/>
      <c r="C159" s="114"/>
      <c r="D159" s="119"/>
    </row>
    <row r="160" spans="1:4">
      <c r="A160" s="46">
        <v>46016</v>
      </c>
      <c r="B160" s="115"/>
      <c r="C160" s="114"/>
      <c r="D160" s="119"/>
    </row>
    <row r="161" spans="1:4">
      <c r="A161" s="46">
        <v>46020</v>
      </c>
      <c r="B161" s="115"/>
      <c r="C161" s="114"/>
      <c r="D161" s="119"/>
    </row>
    <row r="162" spans="1:4">
      <c r="A162" s="46">
        <v>46021</v>
      </c>
      <c r="B162" s="115"/>
      <c r="C162" s="114"/>
      <c r="D162" s="119"/>
    </row>
    <row r="163" spans="1:4">
      <c r="A163" s="46">
        <v>45996</v>
      </c>
      <c r="B163" s="51" t="s">
        <v>778</v>
      </c>
      <c r="C163" s="34" t="s">
        <v>779</v>
      </c>
      <c r="D163" s="23">
        <v>4660</v>
      </c>
    </row>
    <row r="164" spans="1:4">
      <c r="A164" s="46">
        <v>46004</v>
      </c>
      <c r="B164" s="51" t="s">
        <v>781</v>
      </c>
      <c r="C164" s="34" t="s">
        <v>782</v>
      </c>
      <c r="D164" s="23">
        <v>3300</v>
      </c>
    </row>
    <row r="165" spans="1:4">
      <c r="A165" s="46">
        <v>46010</v>
      </c>
      <c r="B165" s="51" t="s">
        <v>798</v>
      </c>
      <c r="C165" s="34" t="s">
        <v>799</v>
      </c>
      <c r="D165" s="23">
        <v>52000</v>
      </c>
    </row>
    <row r="166" spans="1:4">
      <c r="A166" s="46">
        <v>45992</v>
      </c>
      <c r="B166" s="115" t="s">
        <v>800</v>
      </c>
      <c r="C166" s="114" t="s">
        <v>801</v>
      </c>
      <c r="D166" s="119">
        <v>137100</v>
      </c>
    </row>
    <row r="167" spans="1:4">
      <c r="A167" s="46">
        <v>46001</v>
      </c>
      <c r="B167" s="115"/>
      <c r="C167" s="114"/>
      <c r="D167" s="119"/>
    </row>
    <row r="168" spans="1:4">
      <c r="A168" s="46">
        <v>46002</v>
      </c>
      <c r="B168" s="115"/>
      <c r="C168" s="114"/>
      <c r="D168" s="119"/>
    </row>
    <row r="169" spans="1:4">
      <c r="A169" s="46">
        <v>46006</v>
      </c>
      <c r="B169" s="115"/>
      <c r="C169" s="114"/>
      <c r="D169" s="119"/>
    </row>
    <row r="170" spans="1:4">
      <c r="A170" s="46">
        <v>46008</v>
      </c>
      <c r="B170" s="115"/>
      <c r="C170" s="114"/>
      <c r="D170" s="119"/>
    </row>
    <row r="171" spans="1:4">
      <c r="A171" s="46">
        <v>46011</v>
      </c>
      <c r="B171" s="115"/>
      <c r="C171" s="114"/>
      <c r="D171" s="119"/>
    </row>
    <row r="172" spans="1:4">
      <c r="A172" s="46">
        <v>46015</v>
      </c>
      <c r="B172" s="51" t="s">
        <v>821</v>
      </c>
      <c r="C172" s="34" t="s">
        <v>822</v>
      </c>
      <c r="D172" s="23">
        <v>34758</v>
      </c>
    </row>
    <row r="173" spans="1:4">
      <c r="A173" s="46">
        <v>46009</v>
      </c>
      <c r="B173" s="51" t="s">
        <v>823</v>
      </c>
      <c r="C173" s="34" t="s">
        <v>824</v>
      </c>
      <c r="D173" s="23">
        <v>5694</v>
      </c>
    </row>
    <row r="174" spans="1:4">
      <c r="A174" s="46">
        <v>46000</v>
      </c>
      <c r="B174" s="51" t="s">
        <v>829</v>
      </c>
      <c r="C174" s="34" t="s">
        <v>830</v>
      </c>
      <c r="D174" s="23">
        <v>210000</v>
      </c>
    </row>
    <row r="175" spans="1:4">
      <c r="A175" s="46">
        <v>46010</v>
      </c>
      <c r="B175" s="51" t="s">
        <v>831</v>
      </c>
      <c r="C175" s="34" t="s">
        <v>832</v>
      </c>
      <c r="D175" s="23">
        <v>2100</v>
      </c>
    </row>
    <row r="176" spans="1:4">
      <c r="A176" s="46">
        <v>45997</v>
      </c>
      <c r="B176" s="115" t="s">
        <v>838</v>
      </c>
      <c r="C176" s="114" t="s">
        <v>839</v>
      </c>
      <c r="D176" s="119">
        <v>7530</v>
      </c>
    </row>
    <row r="177" spans="1:4">
      <c r="A177" s="46">
        <v>46000</v>
      </c>
      <c r="B177" s="115"/>
      <c r="C177" s="114"/>
      <c r="D177" s="119"/>
    </row>
    <row r="178" spans="1:4">
      <c r="A178" s="46">
        <v>46002</v>
      </c>
      <c r="B178" s="115"/>
      <c r="C178" s="114"/>
      <c r="D178" s="119"/>
    </row>
    <row r="179" spans="1:4">
      <c r="A179" s="46">
        <v>46021</v>
      </c>
      <c r="B179" s="51" t="s">
        <v>843</v>
      </c>
      <c r="C179" s="34" t="s">
        <v>932</v>
      </c>
      <c r="D179" s="23">
        <v>6800</v>
      </c>
    </row>
    <row r="180" spans="1:4">
      <c r="A180" s="46">
        <v>45994</v>
      </c>
      <c r="B180" s="51" t="s">
        <v>845</v>
      </c>
      <c r="C180" s="34" t="s">
        <v>846</v>
      </c>
      <c r="D180" s="23">
        <v>19590</v>
      </c>
    </row>
    <row r="181" spans="1:4">
      <c r="A181" s="46">
        <v>45994</v>
      </c>
      <c r="B181" s="51" t="s">
        <v>849</v>
      </c>
      <c r="C181" s="34" t="s">
        <v>850</v>
      </c>
      <c r="D181" s="23">
        <v>3600</v>
      </c>
    </row>
    <row r="182" spans="1:4">
      <c r="A182" s="46">
        <v>45996</v>
      </c>
      <c r="B182" s="51" t="s">
        <v>851</v>
      </c>
      <c r="C182" s="34"/>
      <c r="D182" s="23">
        <v>7246</v>
      </c>
    </row>
    <row r="183" spans="1:4">
      <c r="A183" s="46">
        <v>46001</v>
      </c>
      <c r="B183" s="51" t="s">
        <v>864</v>
      </c>
      <c r="C183" s="34" t="s">
        <v>865</v>
      </c>
      <c r="D183" s="23">
        <v>6811</v>
      </c>
    </row>
    <row r="184" spans="1:4">
      <c r="A184" s="46">
        <v>45994</v>
      </c>
      <c r="B184" s="51" t="s">
        <v>870</v>
      </c>
      <c r="C184" s="34" t="s">
        <v>871</v>
      </c>
      <c r="D184" s="23">
        <v>1089</v>
      </c>
    </row>
    <row r="185" spans="1:4">
      <c r="A185" s="46">
        <v>45995</v>
      </c>
      <c r="B185" s="51" t="s">
        <v>881</v>
      </c>
      <c r="C185" s="34" t="s">
        <v>882</v>
      </c>
      <c r="D185" s="23">
        <v>9800</v>
      </c>
    </row>
    <row r="186" spans="1:4">
      <c r="A186" s="46">
        <v>46014</v>
      </c>
      <c r="B186" s="115" t="s">
        <v>884</v>
      </c>
      <c r="C186" s="114" t="s">
        <v>885</v>
      </c>
      <c r="D186" s="119">
        <v>10140</v>
      </c>
    </row>
    <row r="187" spans="1:4">
      <c r="A187" s="46">
        <v>46020</v>
      </c>
      <c r="B187" s="115"/>
      <c r="C187" s="114"/>
      <c r="D187" s="119"/>
    </row>
    <row r="188" spans="1:4">
      <c r="A188" s="46">
        <v>46002</v>
      </c>
      <c r="B188" s="51" t="s">
        <v>892</v>
      </c>
      <c r="C188" s="34" t="s">
        <v>893</v>
      </c>
      <c r="D188" s="23">
        <v>6567.5</v>
      </c>
    </row>
    <row r="189" spans="1:4">
      <c r="A189" s="46">
        <v>46003</v>
      </c>
      <c r="B189" s="51" t="s">
        <v>896</v>
      </c>
      <c r="C189" s="34" t="s">
        <v>897</v>
      </c>
      <c r="D189" s="23">
        <v>2750</v>
      </c>
    </row>
    <row r="190" spans="1:4">
      <c r="A190" s="46">
        <v>45995</v>
      </c>
      <c r="B190" s="51" t="s">
        <v>902</v>
      </c>
      <c r="C190" s="34" t="s">
        <v>903</v>
      </c>
      <c r="D190" s="23">
        <v>6400</v>
      </c>
    </row>
    <row r="191" spans="1:4">
      <c r="A191" s="46">
        <v>45994</v>
      </c>
      <c r="B191" s="51" t="s">
        <v>910</v>
      </c>
      <c r="C191" s="34" t="s">
        <v>911</v>
      </c>
      <c r="D191" s="23">
        <v>3000</v>
      </c>
    </row>
    <row r="192" spans="1:4">
      <c r="A192" s="47"/>
      <c r="B192" s="48" t="s">
        <v>918</v>
      </c>
      <c r="C192" s="34"/>
      <c r="D192" s="44">
        <f>SUM(D4:D191)</f>
        <v>4149543.8</v>
      </c>
    </row>
    <row r="194" spans="4:4">
      <c r="D194" s="58"/>
    </row>
  </sheetData>
  <sortState xmlns:xlrd2="http://schemas.microsoft.com/office/spreadsheetml/2017/richdata2" ref="A4:C191">
    <sortCondition ref="B4:B191"/>
  </sortState>
  <mergeCells count="122">
    <mergeCell ref="B186:B187"/>
    <mergeCell ref="C186:C187"/>
    <mergeCell ref="D186:D187"/>
    <mergeCell ref="B166:B171"/>
    <mergeCell ref="C166:C171"/>
    <mergeCell ref="D166:D171"/>
    <mergeCell ref="B176:B178"/>
    <mergeCell ref="C176:C178"/>
    <mergeCell ref="D176:D178"/>
    <mergeCell ref="B150:B151"/>
    <mergeCell ref="C150:C151"/>
    <mergeCell ref="D150:D151"/>
    <mergeCell ref="B157:B162"/>
    <mergeCell ref="C157:C162"/>
    <mergeCell ref="D157:D162"/>
    <mergeCell ref="B139:B141"/>
    <mergeCell ref="C139:C141"/>
    <mergeCell ref="D139:D141"/>
    <mergeCell ref="B145:B147"/>
    <mergeCell ref="C145:C147"/>
    <mergeCell ref="D145:D147"/>
    <mergeCell ref="B133:B135"/>
    <mergeCell ref="C133:C135"/>
    <mergeCell ref="D133:D135"/>
    <mergeCell ref="B137:B138"/>
    <mergeCell ref="C137:C138"/>
    <mergeCell ref="D137:D138"/>
    <mergeCell ref="B127:B128"/>
    <mergeCell ref="C127:C128"/>
    <mergeCell ref="D127:D128"/>
    <mergeCell ref="B131:B132"/>
    <mergeCell ref="C131:C132"/>
    <mergeCell ref="D131:D132"/>
    <mergeCell ref="B120:B121"/>
    <mergeCell ref="C120:C121"/>
    <mergeCell ref="D120:D121"/>
    <mergeCell ref="B122:B124"/>
    <mergeCell ref="C122:C124"/>
    <mergeCell ref="D122:D124"/>
    <mergeCell ref="B116:B117"/>
    <mergeCell ref="C116:C117"/>
    <mergeCell ref="D116:D117"/>
    <mergeCell ref="B118:B119"/>
    <mergeCell ref="C118:C119"/>
    <mergeCell ref="D118:D119"/>
    <mergeCell ref="B107:B108"/>
    <mergeCell ref="C107:C108"/>
    <mergeCell ref="D107:D108"/>
    <mergeCell ref="B112:B113"/>
    <mergeCell ref="C112:C113"/>
    <mergeCell ref="D112:D113"/>
    <mergeCell ref="B96:B97"/>
    <mergeCell ref="C96:C97"/>
    <mergeCell ref="D96:D97"/>
    <mergeCell ref="B99:B100"/>
    <mergeCell ref="C99:C100"/>
    <mergeCell ref="D99:D100"/>
    <mergeCell ref="B89:B90"/>
    <mergeCell ref="C89:C90"/>
    <mergeCell ref="D89:D90"/>
    <mergeCell ref="B91:B92"/>
    <mergeCell ref="C91:C92"/>
    <mergeCell ref="D91:D92"/>
    <mergeCell ref="B84:B86"/>
    <mergeCell ref="C84:C86"/>
    <mergeCell ref="D84:D86"/>
    <mergeCell ref="B87:B88"/>
    <mergeCell ref="C87:C88"/>
    <mergeCell ref="D87:D88"/>
    <mergeCell ref="B76:B77"/>
    <mergeCell ref="C76:C77"/>
    <mergeCell ref="D76:D77"/>
    <mergeCell ref="B79:B80"/>
    <mergeCell ref="C79:C80"/>
    <mergeCell ref="D79:D80"/>
    <mergeCell ref="B64:B66"/>
    <mergeCell ref="C64:C66"/>
    <mergeCell ref="D64:D66"/>
    <mergeCell ref="B68:B70"/>
    <mergeCell ref="C68:C70"/>
    <mergeCell ref="D68:D70"/>
    <mergeCell ref="B54:B56"/>
    <mergeCell ref="C54:C56"/>
    <mergeCell ref="D54:D56"/>
    <mergeCell ref="B59:B60"/>
    <mergeCell ref="C59:C60"/>
    <mergeCell ref="D59:D60"/>
    <mergeCell ref="B44:B46"/>
    <mergeCell ref="C44:C46"/>
    <mergeCell ref="D44:D46"/>
    <mergeCell ref="B47:B48"/>
    <mergeCell ref="C47:C48"/>
    <mergeCell ref="D47:D48"/>
    <mergeCell ref="B34:B37"/>
    <mergeCell ref="C34:C37"/>
    <mergeCell ref="D34:D37"/>
    <mergeCell ref="B39:B43"/>
    <mergeCell ref="C39:C43"/>
    <mergeCell ref="D39:D43"/>
    <mergeCell ref="B21:B22"/>
    <mergeCell ref="C21:C22"/>
    <mergeCell ref="D21:D22"/>
    <mergeCell ref="B25:B33"/>
    <mergeCell ref="C25:C33"/>
    <mergeCell ref="D25:D33"/>
    <mergeCell ref="A1:B1"/>
    <mergeCell ref="A2:B2"/>
    <mergeCell ref="B4:B5"/>
    <mergeCell ref="C4:C5"/>
    <mergeCell ref="D4:D5"/>
    <mergeCell ref="B12:B16"/>
    <mergeCell ref="C12:C16"/>
    <mergeCell ref="D12:D16"/>
    <mergeCell ref="B18:B19"/>
    <mergeCell ref="C18:C19"/>
    <mergeCell ref="D18:D19"/>
    <mergeCell ref="B6:B8"/>
    <mergeCell ref="C6:C8"/>
    <mergeCell ref="D6:D8"/>
    <mergeCell ref="B10:B11"/>
    <mergeCell ref="C10:C11"/>
    <mergeCell ref="D10:D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14E2E-D943-514B-9C3D-1195A8A0ACDE}">
  <dimension ref="A1:D185"/>
  <sheetViews>
    <sheetView workbookViewId="0">
      <selection activeCell="D182" sqref="D182"/>
    </sheetView>
  </sheetViews>
  <sheetFormatPr defaultColWidth="8.85546875" defaultRowHeight="15"/>
  <cols>
    <col min="1" max="1" width="10.5703125" style="1" customWidth="1"/>
    <col min="2" max="2" width="53.7109375" style="1" customWidth="1"/>
    <col min="3" max="3" width="17.7109375" style="1" customWidth="1"/>
    <col min="4" max="4" width="16.5703125" style="28" customWidth="1"/>
    <col min="5" max="16384" width="8.85546875" style="1"/>
  </cols>
  <sheetData>
    <row r="1" spans="1:4" ht="15.75">
      <c r="A1" s="120" t="s">
        <v>912</v>
      </c>
      <c r="B1" s="120"/>
      <c r="C1" s="45"/>
      <c r="D1" s="49"/>
    </row>
    <row r="2" spans="1:4">
      <c r="A2" s="121" t="s">
        <v>934</v>
      </c>
      <c r="B2" s="121"/>
      <c r="C2" s="45"/>
      <c r="D2" s="49"/>
    </row>
    <row r="3" spans="1:4">
      <c r="A3" s="4" t="s">
        <v>914</v>
      </c>
      <c r="B3" s="5" t="s">
        <v>1</v>
      </c>
      <c r="C3" s="4" t="s">
        <v>2</v>
      </c>
      <c r="D3" s="4" t="s">
        <v>915</v>
      </c>
    </row>
    <row r="4" spans="1:4">
      <c r="A4" s="46">
        <v>46025</v>
      </c>
      <c r="B4" s="115" t="s">
        <v>37</v>
      </c>
      <c r="C4" s="114" t="s">
        <v>38</v>
      </c>
      <c r="D4" s="119">
        <v>143160</v>
      </c>
    </row>
    <row r="5" spans="1:4">
      <c r="A5" s="46">
        <v>46039</v>
      </c>
      <c r="B5" s="115"/>
      <c r="C5" s="114"/>
      <c r="D5" s="119"/>
    </row>
    <row r="6" spans="1:4">
      <c r="A6" s="46">
        <v>46041</v>
      </c>
      <c r="B6" s="115"/>
      <c r="C6" s="114"/>
      <c r="D6" s="119"/>
    </row>
    <row r="7" spans="1:4">
      <c r="A7" s="46">
        <v>46042</v>
      </c>
      <c r="B7" s="115"/>
      <c r="C7" s="114"/>
      <c r="D7" s="119"/>
    </row>
    <row r="8" spans="1:4">
      <c r="A8" s="46">
        <v>46043</v>
      </c>
      <c r="B8" s="115"/>
      <c r="C8" s="114"/>
      <c r="D8" s="119"/>
    </row>
    <row r="9" spans="1:4">
      <c r="A9" s="46">
        <v>46036</v>
      </c>
      <c r="B9" s="51" t="s">
        <v>45</v>
      </c>
      <c r="C9" s="34"/>
      <c r="D9" s="23">
        <v>8080</v>
      </c>
    </row>
    <row r="10" spans="1:4">
      <c r="A10" s="46">
        <v>46037</v>
      </c>
      <c r="B10" s="51" t="s">
        <v>47</v>
      </c>
      <c r="C10" s="34"/>
      <c r="D10" s="23">
        <v>9300</v>
      </c>
    </row>
    <row r="11" spans="1:4">
      <c r="A11" s="46">
        <v>46052</v>
      </c>
      <c r="B11" s="51" t="s">
        <v>50</v>
      </c>
      <c r="C11" s="34" t="s">
        <v>51</v>
      </c>
      <c r="D11" s="23">
        <v>30000</v>
      </c>
    </row>
    <row r="12" spans="1:4">
      <c r="A12" s="46">
        <v>46028</v>
      </c>
      <c r="B12" s="115" t="s">
        <v>52</v>
      </c>
      <c r="C12" s="114"/>
      <c r="D12" s="119">
        <v>34510</v>
      </c>
    </row>
    <row r="13" spans="1:4">
      <c r="A13" s="46">
        <v>46030</v>
      </c>
      <c r="B13" s="115"/>
      <c r="C13" s="114"/>
      <c r="D13" s="119"/>
    </row>
    <row r="14" spans="1:4">
      <c r="A14" s="46">
        <v>46035</v>
      </c>
      <c r="B14" s="115"/>
      <c r="C14" s="114"/>
      <c r="D14" s="119"/>
    </row>
    <row r="15" spans="1:4">
      <c r="A15" s="46">
        <v>46037</v>
      </c>
      <c r="B15" s="115"/>
      <c r="C15" s="114"/>
      <c r="D15" s="119"/>
    </row>
    <row r="16" spans="1:4">
      <c r="A16" s="46">
        <v>46044</v>
      </c>
      <c r="B16" s="115"/>
      <c r="C16" s="114"/>
      <c r="D16" s="119"/>
    </row>
    <row r="17" spans="1:4">
      <c r="A17" s="46">
        <v>46049</v>
      </c>
      <c r="B17" s="115"/>
      <c r="C17" s="114"/>
      <c r="D17" s="119"/>
    </row>
    <row r="18" spans="1:4">
      <c r="A18" s="46">
        <v>46051</v>
      </c>
      <c r="B18" s="51" t="s">
        <v>64</v>
      </c>
      <c r="C18" s="34" t="s">
        <v>65</v>
      </c>
      <c r="D18" s="23">
        <v>24000</v>
      </c>
    </row>
    <row r="19" spans="1:4">
      <c r="A19" s="46">
        <v>46034</v>
      </c>
      <c r="B19" s="115" t="s">
        <v>67</v>
      </c>
      <c r="C19" s="114" t="s">
        <v>68</v>
      </c>
      <c r="D19" s="119">
        <v>55480</v>
      </c>
    </row>
    <row r="20" spans="1:4">
      <c r="A20" s="46">
        <v>46034</v>
      </c>
      <c r="B20" s="115"/>
      <c r="C20" s="114"/>
      <c r="D20" s="119"/>
    </row>
    <row r="21" spans="1:4">
      <c r="A21" s="46">
        <v>46039</v>
      </c>
      <c r="B21" s="115"/>
      <c r="C21" s="114"/>
      <c r="D21" s="119"/>
    </row>
    <row r="22" spans="1:4">
      <c r="A22" s="46">
        <v>46041</v>
      </c>
      <c r="B22" s="115"/>
      <c r="C22" s="114"/>
      <c r="D22" s="119"/>
    </row>
    <row r="23" spans="1:4">
      <c r="A23" s="46">
        <v>46046</v>
      </c>
      <c r="B23" s="115"/>
      <c r="C23" s="114"/>
      <c r="D23" s="119"/>
    </row>
    <row r="24" spans="1:4">
      <c r="A24" s="46">
        <v>46045</v>
      </c>
      <c r="B24" s="51" t="s">
        <v>76</v>
      </c>
      <c r="C24" s="34" t="s">
        <v>77</v>
      </c>
      <c r="D24" s="23">
        <v>14260</v>
      </c>
    </row>
    <row r="25" spans="1:4">
      <c r="A25" s="46">
        <v>46029</v>
      </c>
      <c r="B25" s="115" t="s">
        <v>82</v>
      </c>
      <c r="C25" s="114" t="s">
        <v>83</v>
      </c>
      <c r="D25" s="119">
        <v>29400</v>
      </c>
    </row>
    <row r="26" spans="1:4">
      <c r="A26" s="46">
        <v>46049</v>
      </c>
      <c r="B26" s="115"/>
      <c r="C26" s="114"/>
      <c r="D26" s="119"/>
    </row>
    <row r="27" spans="1:4">
      <c r="A27" s="46">
        <v>46037</v>
      </c>
      <c r="B27" s="51" t="s">
        <v>95</v>
      </c>
      <c r="C27" s="34"/>
      <c r="D27" s="23">
        <v>275</v>
      </c>
    </row>
    <row r="28" spans="1:4">
      <c r="A28" s="46">
        <v>46025</v>
      </c>
      <c r="B28" s="115" t="s">
        <v>108</v>
      </c>
      <c r="C28" s="114" t="s">
        <v>109</v>
      </c>
      <c r="D28" s="119">
        <v>377265</v>
      </c>
    </row>
    <row r="29" spans="1:4">
      <c r="A29" s="46">
        <v>46027</v>
      </c>
      <c r="B29" s="115"/>
      <c r="C29" s="114"/>
      <c r="D29" s="119"/>
    </row>
    <row r="30" spans="1:4">
      <c r="A30" s="46">
        <v>46037</v>
      </c>
      <c r="B30" s="115"/>
      <c r="C30" s="114"/>
      <c r="D30" s="119"/>
    </row>
    <row r="31" spans="1:4">
      <c r="A31" s="46">
        <v>46038</v>
      </c>
      <c r="B31" s="115"/>
      <c r="C31" s="114"/>
      <c r="D31" s="119"/>
    </row>
    <row r="32" spans="1:4">
      <c r="A32" s="46">
        <v>46042</v>
      </c>
      <c r="B32" s="115"/>
      <c r="C32" s="114"/>
      <c r="D32" s="119"/>
    </row>
    <row r="33" spans="1:4">
      <c r="A33" s="46">
        <v>46043</v>
      </c>
      <c r="B33" s="115"/>
      <c r="C33" s="114"/>
      <c r="D33" s="119"/>
    </row>
    <row r="34" spans="1:4">
      <c r="A34" s="46">
        <v>46050</v>
      </c>
      <c r="B34" s="115"/>
      <c r="C34" s="114"/>
      <c r="D34" s="119"/>
    </row>
    <row r="35" spans="1:4">
      <c r="A35" s="46">
        <v>46050</v>
      </c>
      <c r="B35" s="115"/>
      <c r="C35" s="114"/>
      <c r="D35" s="119"/>
    </row>
    <row r="36" spans="1:4">
      <c r="A36" s="46">
        <v>46052</v>
      </c>
      <c r="B36" s="115"/>
      <c r="C36" s="114"/>
      <c r="D36" s="119"/>
    </row>
    <row r="37" spans="1:4">
      <c r="A37" s="46">
        <v>46053</v>
      </c>
      <c r="B37" s="115"/>
      <c r="C37" s="114"/>
      <c r="D37" s="119"/>
    </row>
    <row r="38" spans="1:4">
      <c r="A38" s="46">
        <v>46027</v>
      </c>
      <c r="B38" s="115" t="s">
        <v>110</v>
      </c>
      <c r="C38" s="114" t="s">
        <v>111</v>
      </c>
      <c r="D38" s="119">
        <v>431962</v>
      </c>
    </row>
    <row r="39" spans="1:4">
      <c r="A39" s="46">
        <v>46028</v>
      </c>
      <c r="B39" s="115"/>
      <c r="C39" s="114"/>
      <c r="D39" s="119"/>
    </row>
    <row r="40" spans="1:4">
      <c r="A40" s="46">
        <v>46030</v>
      </c>
      <c r="B40" s="115"/>
      <c r="C40" s="114"/>
      <c r="D40" s="119"/>
    </row>
    <row r="41" spans="1:4">
      <c r="A41" s="46">
        <v>46031</v>
      </c>
      <c r="B41" s="115"/>
      <c r="C41" s="114"/>
      <c r="D41" s="119"/>
    </row>
    <row r="42" spans="1:4">
      <c r="A42" s="46">
        <v>46032</v>
      </c>
      <c r="B42" s="115"/>
      <c r="C42" s="114"/>
      <c r="D42" s="119"/>
    </row>
    <row r="43" spans="1:4">
      <c r="A43" s="46">
        <v>46039</v>
      </c>
      <c r="B43" s="115"/>
      <c r="C43" s="114"/>
      <c r="D43" s="119"/>
    </row>
    <row r="44" spans="1:4">
      <c r="A44" s="46">
        <v>46043</v>
      </c>
      <c r="B44" s="115"/>
      <c r="C44" s="114"/>
      <c r="D44" s="119"/>
    </row>
    <row r="45" spans="1:4">
      <c r="A45" s="46">
        <v>46050</v>
      </c>
      <c r="B45" s="115"/>
      <c r="C45" s="114"/>
      <c r="D45" s="119"/>
    </row>
    <row r="46" spans="1:4">
      <c r="A46" s="46">
        <v>46050</v>
      </c>
      <c r="B46" s="115"/>
      <c r="C46" s="114"/>
      <c r="D46" s="119"/>
    </row>
    <row r="47" spans="1:4">
      <c r="A47" s="46">
        <v>46053</v>
      </c>
      <c r="B47" s="115"/>
      <c r="C47" s="114"/>
      <c r="D47" s="119"/>
    </row>
    <row r="48" spans="1:4">
      <c r="A48" s="46">
        <v>46027</v>
      </c>
      <c r="B48" s="51" t="s">
        <v>123</v>
      </c>
      <c r="C48" s="34" t="s">
        <v>124</v>
      </c>
      <c r="D48" s="23">
        <v>9850</v>
      </c>
    </row>
    <row r="49" spans="1:4">
      <c r="A49" s="46">
        <v>46030</v>
      </c>
      <c r="B49" s="115" t="s">
        <v>136</v>
      </c>
      <c r="C49" s="114" t="s">
        <v>137</v>
      </c>
      <c r="D49" s="119">
        <v>71570</v>
      </c>
    </row>
    <row r="50" spans="1:4">
      <c r="A50" s="46">
        <v>46053</v>
      </c>
      <c r="B50" s="115"/>
      <c r="C50" s="114"/>
      <c r="D50" s="119"/>
    </row>
    <row r="51" spans="1:4">
      <c r="A51" s="46">
        <v>46045</v>
      </c>
      <c r="B51" s="51" t="s">
        <v>147</v>
      </c>
      <c r="C51" s="34" t="s">
        <v>148</v>
      </c>
      <c r="D51" s="23">
        <v>14460</v>
      </c>
    </row>
    <row r="52" spans="1:4">
      <c r="A52" s="46">
        <v>46039</v>
      </c>
      <c r="B52" s="51" t="s">
        <v>155</v>
      </c>
      <c r="C52" s="34"/>
      <c r="D52" s="23">
        <v>2552</v>
      </c>
    </row>
    <row r="53" spans="1:4">
      <c r="A53" s="46">
        <v>46053</v>
      </c>
      <c r="B53" s="51" t="s">
        <v>162</v>
      </c>
      <c r="C53" s="34"/>
      <c r="D53" s="23">
        <v>19975</v>
      </c>
    </row>
    <row r="54" spans="1:4">
      <c r="A54" s="46">
        <v>46037</v>
      </c>
      <c r="B54" s="51" t="s">
        <v>163</v>
      </c>
      <c r="C54" s="34"/>
      <c r="D54" s="23">
        <v>5800</v>
      </c>
    </row>
    <row r="55" spans="1:4">
      <c r="A55" s="46">
        <v>46024</v>
      </c>
      <c r="B55" s="51" t="s">
        <v>184</v>
      </c>
      <c r="C55" s="34" t="s">
        <v>185</v>
      </c>
      <c r="D55" s="23">
        <v>8825</v>
      </c>
    </row>
    <row r="56" spans="1:4">
      <c r="A56" s="46">
        <v>46036</v>
      </c>
      <c r="B56" s="51" t="s">
        <v>191</v>
      </c>
      <c r="C56" s="34" t="s">
        <v>192</v>
      </c>
      <c r="D56" s="23">
        <v>9360</v>
      </c>
    </row>
    <row r="57" spans="1:4">
      <c r="A57" s="46">
        <v>46043</v>
      </c>
      <c r="B57" s="51" t="s">
        <v>193</v>
      </c>
      <c r="C57" s="34" t="s">
        <v>194</v>
      </c>
      <c r="D57" s="23">
        <v>1450</v>
      </c>
    </row>
    <row r="58" spans="1:4">
      <c r="A58" s="46">
        <v>46039</v>
      </c>
      <c r="B58" s="51" t="s">
        <v>221</v>
      </c>
      <c r="C58" s="34"/>
      <c r="D58" s="23">
        <v>4020</v>
      </c>
    </row>
    <row r="59" spans="1:4">
      <c r="A59" s="46">
        <v>46030</v>
      </c>
      <c r="B59" s="51" t="s">
        <v>232</v>
      </c>
      <c r="C59" s="34" t="s">
        <v>233</v>
      </c>
      <c r="D59" s="23">
        <v>6555</v>
      </c>
    </row>
    <row r="60" spans="1:4">
      <c r="A60" s="46">
        <v>46042</v>
      </c>
      <c r="B60" s="115" t="s">
        <v>237</v>
      </c>
      <c r="C60" s="114"/>
      <c r="D60" s="119">
        <v>6320</v>
      </c>
    </row>
    <row r="61" spans="1:4">
      <c r="A61" s="46">
        <v>46043</v>
      </c>
      <c r="B61" s="115"/>
      <c r="C61" s="114"/>
      <c r="D61" s="119"/>
    </row>
    <row r="62" spans="1:4">
      <c r="A62" s="46">
        <v>46043</v>
      </c>
      <c r="B62" s="115" t="s">
        <v>253</v>
      </c>
      <c r="C62" s="114" t="s">
        <v>254</v>
      </c>
      <c r="D62" s="119">
        <v>10220</v>
      </c>
    </row>
    <row r="63" spans="1:4">
      <c r="A63" s="46">
        <v>46045</v>
      </c>
      <c r="B63" s="115"/>
      <c r="C63" s="114"/>
      <c r="D63" s="119"/>
    </row>
    <row r="64" spans="1:4">
      <c r="A64" s="46">
        <v>46027</v>
      </c>
      <c r="B64" s="115" t="s">
        <v>271</v>
      </c>
      <c r="C64" s="114" t="s">
        <v>272</v>
      </c>
      <c r="D64" s="119">
        <v>265420</v>
      </c>
    </row>
    <row r="65" spans="1:4">
      <c r="A65" s="46">
        <v>46032</v>
      </c>
      <c r="B65" s="115"/>
      <c r="C65" s="114"/>
      <c r="D65" s="119"/>
    </row>
    <row r="66" spans="1:4">
      <c r="A66" s="46">
        <v>46044</v>
      </c>
      <c r="B66" s="115"/>
      <c r="C66" s="114"/>
      <c r="D66" s="119"/>
    </row>
    <row r="67" spans="1:4">
      <c r="A67" s="46">
        <v>46045</v>
      </c>
      <c r="B67" s="115"/>
      <c r="C67" s="114"/>
      <c r="D67" s="119"/>
    </row>
    <row r="68" spans="1:4">
      <c r="A68" s="46">
        <v>46042</v>
      </c>
      <c r="B68" s="51" t="s">
        <v>280</v>
      </c>
      <c r="C68" s="34" t="s">
        <v>281</v>
      </c>
      <c r="D68" s="23">
        <v>6000</v>
      </c>
    </row>
    <row r="69" spans="1:4">
      <c r="A69" s="46">
        <v>46029</v>
      </c>
      <c r="B69" s="115" t="s">
        <v>284</v>
      </c>
      <c r="C69" s="114"/>
      <c r="D69" s="119">
        <v>2200</v>
      </c>
    </row>
    <row r="70" spans="1:4">
      <c r="A70" s="46">
        <v>46050</v>
      </c>
      <c r="B70" s="115"/>
      <c r="C70" s="114"/>
      <c r="D70" s="119"/>
    </row>
    <row r="71" spans="1:4">
      <c r="A71" s="46">
        <v>46037</v>
      </c>
      <c r="B71" s="115" t="s">
        <v>288</v>
      </c>
      <c r="C71" s="114" t="s">
        <v>289</v>
      </c>
      <c r="D71" s="119">
        <v>20730</v>
      </c>
    </row>
    <row r="72" spans="1:4">
      <c r="A72" s="46">
        <v>46046</v>
      </c>
      <c r="B72" s="115"/>
      <c r="C72" s="114"/>
      <c r="D72" s="119"/>
    </row>
    <row r="73" spans="1:4">
      <c r="A73" s="46">
        <v>46053</v>
      </c>
      <c r="B73" s="115"/>
      <c r="C73" s="114"/>
      <c r="D73" s="119"/>
    </row>
    <row r="74" spans="1:4">
      <c r="A74" s="46">
        <v>46050</v>
      </c>
      <c r="B74" s="51" t="s">
        <v>300</v>
      </c>
      <c r="C74" s="34" t="s">
        <v>301</v>
      </c>
      <c r="D74" s="23">
        <v>66140</v>
      </c>
    </row>
    <row r="75" spans="1:4">
      <c r="A75" s="46">
        <v>46038</v>
      </c>
      <c r="B75" s="51" t="s">
        <v>315</v>
      </c>
      <c r="C75" s="34"/>
      <c r="D75" s="23">
        <v>5200</v>
      </c>
    </row>
    <row r="76" spans="1:4">
      <c r="A76" s="46">
        <v>46032</v>
      </c>
      <c r="B76" s="51" t="s">
        <v>319</v>
      </c>
      <c r="C76" s="34" t="s">
        <v>320</v>
      </c>
      <c r="D76" s="23">
        <v>9600</v>
      </c>
    </row>
    <row r="77" spans="1:4">
      <c r="A77" s="46">
        <v>46050</v>
      </c>
      <c r="B77" s="51" t="s">
        <v>321</v>
      </c>
      <c r="C77" s="34" t="s">
        <v>322</v>
      </c>
      <c r="D77" s="23">
        <v>65500</v>
      </c>
    </row>
    <row r="78" spans="1:4">
      <c r="A78" s="46">
        <v>46031</v>
      </c>
      <c r="B78" s="115" t="s">
        <v>330</v>
      </c>
      <c r="C78" s="114" t="s">
        <v>331</v>
      </c>
      <c r="D78" s="119">
        <v>21870</v>
      </c>
    </row>
    <row r="79" spans="1:4">
      <c r="A79" s="46">
        <v>46043</v>
      </c>
      <c r="B79" s="115"/>
      <c r="C79" s="114"/>
      <c r="D79" s="119"/>
    </row>
    <row r="80" spans="1:4">
      <c r="A80" s="46">
        <v>46027</v>
      </c>
      <c r="B80" s="51" t="s">
        <v>333</v>
      </c>
      <c r="C80" s="34"/>
      <c r="D80" s="23">
        <v>27860</v>
      </c>
    </row>
    <row r="81" spans="1:4">
      <c r="A81" s="46">
        <v>46028</v>
      </c>
      <c r="B81" s="51" t="s">
        <v>351</v>
      </c>
      <c r="C81" s="34" t="s">
        <v>352</v>
      </c>
      <c r="D81" s="23">
        <v>26367</v>
      </c>
    </row>
    <row r="82" spans="1:4">
      <c r="A82" s="46">
        <v>46034</v>
      </c>
      <c r="B82" s="115" t="s">
        <v>353</v>
      </c>
      <c r="C82" s="114" t="s">
        <v>354</v>
      </c>
      <c r="D82" s="119">
        <v>13624.5</v>
      </c>
    </row>
    <row r="83" spans="1:4">
      <c r="A83" s="46">
        <v>46051</v>
      </c>
      <c r="B83" s="115"/>
      <c r="C83" s="114"/>
      <c r="D83" s="119"/>
    </row>
    <row r="84" spans="1:4">
      <c r="A84" s="46">
        <v>46042</v>
      </c>
      <c r="B84" s="51" t="s">
        <v>363</v>
      </c>
      <c r="C84" s="34" t="s">
        <v>364</v>
      </c>
      <c r="D84" s="23">
        <v>4761.8999999999996</v>
      </c>
    </row>
    <row r="85" spans="1:4">
      <c r="A85" s="46">
        <v>46025</v>
      </c>
      <c r="B85" s="51" t="s">
        <v>388</v>
      </c>
      <c r="C85" s="34" t="s">
        <v>389</v>
      </c>
      <c r="D85" s="23">
        <v>10930</v>
      </c>
    </row>
    <row r="86" spans="1:4">
      <c r="A86" s="46">
        <v>46039</v>
      </c>
      <c r="B86" s="51" t="s">
        <v>406</v>
      </c>
      <c r="C86" s="34" t="s">
        <v>407</v>
      </c>
      <c r="D86" s="23">
        <v>21900</v>
      </c>
    </row>
    <row r="87" spans="1:4">
      <c r="A87" s="46">
        <v>46049</v>
      </c>
      <c r="B87" s="51" t="s">
        <v>418</v>
      </c>
      <c r="C87" s="34"/>
      <c r="D87" s="23">
        <v>19000</v>
      </c>
    </row>
    <row r="88" spans="1:4">
      <c r="A88" s="46">
        <v>46039</v>
      </c>
      <c r="B88" s="115" t="s">
        <v>421</v>
      </c>
      <c r="C88" s="114" t="s">
        <v>422</v>
      </c>
      <c r="D88" s="119">
        <v>84165</v>
      </c>
    </row>
    <row r="89" spans="1:4">
      <c r="A89" s="46">
        <v>46045</v>
      </c>
      <c r="B89" s="115"/>
      <c r="C89" s="114"/>
      <c r="D89" s="119"/>
    </row>
    <row r="90" spans="1:4">
      <c r="A90" s="46">
        <v>46046</v>
      </c>
      <c r="B90" s="51" t="s">
        <v>427</v>
      </c>
      <c r="C90" s="34" t="s">
        <v>428</v>
      </c>
      <c r="D90" s="23">
        <v>52500</v>
      </c>
    </row>
    <row r="91" spans="1:4">
      <c r="A91" s="46">
        <v>46043</v>
      </c>
      <c r="B91" s="51" t="s">
        <v>440</v>
      </c>
      <c r="C91" s="34" t="s">
        <v>441</v>
      </c>
      <c r="D91" s="23">
        <v>3600</v>
      </c>
    </row>
    <row r="92" spans="1:4">
      <c r="A92" s="46">
        <v>46028</v>
      </c>
      <c r="B92" s="115" t="s">
        <v>442</v>
      </c>
      <c r="C92" s="114" t="s">
        <v>443</v>
      </c>
      <c r="D92" s="119">
        <v>33660</v>
      </c>
    </row>
    <row r="93" spans="1:4">
      <c r="A93" s="46">
        <v>46053</v>
      </c>
      <c r="B93" s="115"/>
      <c r="C93" s="114"/>
      <c r="D93" s="119"/>
    </row>
    <row r="94" spans="1:4">
      <c r="A94" s="46">
        <v>46036</v>
      </c>
      <c r="B94" s="115" t="s">
        <v>468</v>
      </c>
      <c r="C94" s="114" t="s">
        <v>469</v>
      </c>
      <c r="D94" s="119">
        <v>53880</v>
      </c>
    </row>
    <row r="95" spans="1:4">
      <c r="A95" s="46">
        <v>46038</v>
      </c>
      <c r="B95" s="115"/>
      <c r="C95" s="114"/>
      <c r="D95" s="119"/>
    </row>
    <row r="96" spans="1:4">
      <c r="A96" s="46">
        <v>46041</v>
      </c>
      <c r="B96" s="115" t="s">
        <v>470</v>
      </c>
      <c r="C96" s="114" t="s">
        <v>471</v>
      </c>
      <c r="D96" s="119">
        <v>176200</v>
      </c>
    </row>
    <row r="97" spans="1:4">
      <c r="A97" s="46">
        <v>46042</v>
      </c>
      <c r="B97" s="115"/>
      <c r="C97" s="114"/>
      <c r="D97" s="119"/>
    </row>
    <row r="98" spans="1:4">
      <c r="A98" s="46">
        <v>46044</v>
      </c>
      <c r="B98" s="115"/>
      <c r="C98" s="114"/>
      <c r="D98" s="119"/>
    </row>
    <row r="99" spans="1:4">
      <c r="A99" s="46">
        <v>46050</v>
      </c>
      <c r="B99" s="115"/>
      <c r="C99" s="114"/>
      <c r="D99" s="119"/>
    </row>
    <row r="100" spans="1:4">
      <c r="A100" s="46">
        <v>46035</v>
      </c>
      <c r="B100" s="51" t="s">
        <v>483</v>
      </c>
      <c r="C100" s="34" t="s">
        <v>484</v>
      </c>
      <c r="D100" s="23">
        <v>153750</v>
      </c>
    </row>
    <row r="101" spans="1:4">
      <c r="A101" s="46">
        <v>46032</v>
      </c>
      <c r="B101" s="51" t="s">
        <v>489</v>
      </c>
      <c r="C101" s="34"/>
      <c r="D101" s="23">
        <v>4800</v>
      </c>
    </row>
    <row r="102" spans="1:4">
      <c r="A102" s="46">
        <v>46052</v>
      </c>
      <c r="B102" s="51" t="s">
        <v>501</v>
      </c>
      <c r="C102" s="34" t="s">
        <v>502</v>
      </c>
      <c r="D102" s="23">
        <v>149800</v>
      </c>
    </row>
    <row r="103" spans="1:4">
      <c r="A103" s="46">
        <v>46041</v>
      </c>
      <c r="B103" s="51" t="s">
        <v>935</v>
      </c>
      <c r="C103" s="34" t="s">
        <v>936</v>
      </c>
      <c r="D103" s="23">
        <v>1440</v>
      </c>
    </row>
    <row r="104" spans="1:4">
      <c r="A104" s="46">
        <v>46027</v>
      </c>
      <c r="B104" s="51" t="s">
        <v>515</v>
      </c>
      <c r="C104" s="34"/>
      <c r="D104" s="23">
        <v>6600</v>
      </c>
    </row>
    <row r="105" spans="1:4">
      <c r="A105" s="46">
        <v>46041</v>
      </c>
      <c r="B105" s="115" t="s">
        <v>517</v>
      </c>
      <c r="C105" s="114"/>
      <c r="D105" s="119">
        <v>16050</v>
      </c>
    </row>
    <row r="106" spans="1:4">
      <c r="A106" s="46">
        <v>46041</v>
      </c>
      <c r="B106" s="115"/>
      <c r="C106" s="114"/>
      <c r="D106" s="119"/>
    </row>
    <row r="107" spans="1:4">
      <c r="A107" s="46">
        <v>46030</v>
      </c>
      <c r="B107" s="115" t="s">
        <v>526</v>
      </c>
      <c r="C107" s="114" t="s">
        <v>527</v>
      </c>
      <c r="D107" s="119">
        <v>21740</v>
      </c>
    </row>
    <row r="108" spans="1:4">
      <c r="A108" s="46">
        <v>46041</v>
      </c>
      <c r="B108" s="115"/>
      <c r="C108" s="114"/>
      <c r="D108" s="119"/>
    </row>
    <row r="109" spans="1:4">
      <c r="A109" s="46">
        <v>46024</v>
      </c>
      <c r="B109" s="51" t="s">
        <v>528</v>
      </c>
      <c r="C109" s="34" t="s">
        <v>529</v>
      </c>
      <c r="D109" s="23">
        <v>21600</v>
      </c>
    </row>
    <row r="110" spans="1:4">
      <c r="A110" s="46">
        <v>46043</v>
      </c>
      <c r="B110" s="51" t="s">
        <v>542</v>
      </c>
      <c r="C110" s="34"/>
      <c r="D110" s="23">
        <v>1982</v>
      </c>
    </row>
    <row r="111" spans="1:4">
      <c r="A111" s="46">
        <v>46024</v>
      </c>
      <c r="B111" s="115" t="s">
        <v>552</v>
      </c>
      <c r="C111" s="114" t="s">
        <v>553</v>
      </c>
      <c r="D111" s="119">
        <v>88450</v>
      </c>
    </row>
    <row r="112" spans="1:4">
      <c r="A112" s="46">
        <v>46025</v>
      </c>
      <c r="B112" s="115"/>
      <c r="C112" s="114"/>
      <c r="D112" s="119"/>
    </row>
    <row r="113" spans="1:4">
      <c r="A113" s="46">
        <v>46039</v>
      </c>
      <c r="B113" s="115"/>
      <c r="C113" s="114"/>
      <c r="D113" s="119"/>
    </row>
    <row r="114" spans="1:4">
      <c r="A114" s="46">
        <v>46030</v>
      </c>
      <c r="B114" s="51" t="s">
        <v>564</v>
      </c>
      <c r="C114" s="34"/>
      <c r="D114" s="23">
        <v>11855</v>
      </c>
    </row>
    <row r="115" spans="1:4">
      <c r="A115" s="46">
        <v>46031</v>
      </c>
      <c r="B115" s="115" t="s">
        <v>574</v>
      </c>
      <c r="C115" s="114" t="s">
        <v>575</v>
      </c>
      <c r="D115" s="119">
        <v>121742.5</v>
      </c>
    </row>
    <row r="116" spans="1:4">
      <c r="A116" s="46">
        <v>46044</v>
      </c>
      <c r="B116" s="115"/>
      <c r="C116" s="114"/>
      <c r="D116" s="119"/>
    </row>
    <row r="117" spans="1:4">
      <c r="A117" s="46">
        <v>46044</v>
      </c>
      <c r="B117" s="115"/>
      <c r="C117" s="114"/>
      <c r="D117" s="119"/>
    </row>
    <row r="118" spans="1:4">
      <c r="A118" s="46">
        <v>46052</v>
      </c>
      <c r="B118" s="115"/>
      <c r="C118" s="114"/>
      <c r="D118" s="119"/>
    </row>
    <row r="119" spans="1:4">
      <c r="A119" s="46">
        <v>46052</v>
      </c>
      <c r="B119" s="51" t="s">
        <v>582</v>
      </c>
      <c r="C119" s="34"/>
      <c r="D119" s="23">
        <v>9600</v>
      </c>
    </row>
    <row r="120" spans="1:4">
      <c r="A120" s="46">
        <v>46053</v>
      </c>
      <c r="B120" s="51" t="s">
        <v>590</v>
      </c>
      <c r="C120" s="34" t="s">
        <v>591</v>
      </c>
      <c r="D120" s="23">
        <v>5800</v>
      </c>
    </row>
    <row r="121" spans="1:4">
      <c r="A121" s="46">
        <v>46027</v>
      </c>
      <c r="B121" s="51" t="s">
        <v>594</v>
      </c>
      <c r="C121" s="34" t="s">
        <v>595</v>
      </c>
      <c r="D121" s="23">
        <v>24000</v>
      </c>
    </row>
    <row r="122" spans="1:4">
      <c r="A122" s="46">
        <v>46044</v>
      </c>
      <c r="B122" s="51" t="s">
        <v>602</v>
      </c>
      <c r="C122" s="34" t="s">
        <v>603</v>
      </c>
      <c r="D122" s="23">
        <v>750</v>
      </c>
    </row>
    <row r="123" spans="1:4">
      <c r="A123" s="46">
        <v>46027</v>
      </c>
      <c r="B123" s="115" t="s">
        <v>627</v>
      </c>
      <c r="C123" s="114" t="s">
        <v>628</v>
      </c>
      <c r="D123" s="119">
        <v>9600</v>
      </c>
    </row>
    <row r="124" spans="1:4">
      <c r="A124" s="46">
        <v>46034</v>
      </c>
      <c r="B124" s="115"/>
      <c r="C124" s="114"/>
      <c r="D124" s="119"/>
    </row>
    <row r="125" spans="1:4">
      <c r="A125" s="46">
        <v>46038</v>
      </c>
      <c r="B125" s="51" t="s">
        <v>629</v>
      </c>
      <c r="C125" s="34" t="s">
        <v>630</v>
      </c>
      <c r="D125" s="23">
        <v>1900</v>
      </c>
    </row>
    <row r="126" spans="1:4">
      <c r="A126" s="46">
        <v>46045</v>
      </c>
      <c r="B126" s="51" t="s">
        <v>641</v>
      </c>
      <c r="C126" s="34" t="s">
        <v>642</v>
      </c>
      <c r="D126" s="23">
        <v>4180</v>
      </c>
    </row>
    <row r="127" spans="1:4">
      <c r="A127" s="46">
        <v>46027</v>
      </c>
      <c r="B127" s="115" t="s">
        <v>655</v>
      </c>
      <c r="C127" s="114" t="s">
        <v>656</v>
      </c>
      <c r="D127" s="119">
        <v>37600</v>
      </c>
    </row>
    <row r="128" spans="1:4">
      <c r="A128" s="46">
        <v>46036</v>
      </c>
      <c r="B128" s="115"/>
      <c r="C128" s="114"/>
      <c r="D128" s="119"/>
    </row>
    <row r="129" spans="1:4">
      <c r="A129" s="46">
        <v>46041</v>
      </c>
      <c r="B129" s="115"/>
      <c r="C129" s="114"/>
      <c r="D129" s="119"/>
    </row>
    <row r="130" spans="1:4">
      <c r="A130" s="46">
        <v>46037</v>
      </c>
      <c r="B130" s="51" t="s">
        <v>662</v>
      </c>
      <c r="C130" s="34" t="s">
        <v>663</v>
      </c>
      <c r="D130" s="23">
        <v>3150</v>
      </c>
    </row>
    <row r="131" spans="1:4">
      <c r="A131" s="46">
        <v>46044</v>
      </c>
      <c r="B131" s="115" t="s">
        <v>664</v>
      </c>
      <c r="C131" s="114" t="s">
        <v>665</v>
      </c>
      <c r="D131" s="119">
        <v>6510</v>
      </c>
    </row>
    <row r="132" spans="1:4">
      <c r="A132" s="46">
        <v>46050</v>
      </c>
      <c r="B132" s="115"/>
      <c r="C132" s="114"/>
      <c r="D132" s="119"/>
    </row>
    <row r="133" spans="1:4">
      <c r="A133" s="46">
        <v>46034</v>
      </c>
      <c r="B133" s="51" t="s">
        <v>678</v>
      </c>
      <c r="C133" s="34" t="s">
        <v>663</v>
      </c>
      <c r="D133" s="23">
        <v>3150</v>
      </c>
    </row>
    <row r="134" spans="1:4">
      <c r="A134" s="46">
        <v>46044</v>
      </c>
      <c r="B134" s="51" t="s">
        <v>682</v>
      </c>
      <c r="C134" s="34" t="s">
        <v>683</v>
      </c>
      <c r="D134" s="23">
        <v>2600</v>
      </c>
    </row>
    <row r="135" spans="1:4">
      <c r="A135" s="46">
        <v>46043</v>
      </c>
      <c r="B135" s="51" t="s">
        <v>687</v>
      </c>
      <c r="C135" s="34" t="s">
        <v>688</v>
      </c>
      <c r="D135" s="23">
        <v>3900</v>
      </c>
    </row>
    <row r="136" spans="1:4">
      <c r="A136" s="46">
        <v>46030</v>
      </c>
      <c r="B136" s="115" t="s">
        <v>693</v>
      </c>
      <c r="C136" s="114" t="s">
        <v>694</v>
      </c>
      <c r="D136" s="119">
        <v>31900</v>
      </c>
    </row>
    <row r="137" spans="1:4">
      <c r="A137" s="46">
        <v>46045</v>
      </c>
      <c r="B137" s="115"/>
      <c r="C137" s="114"/>
      <c r="D137" s="119"/>
    </row>
    <row r="138" spans="1:4">
      <c r="A138" s="46">
        <v>46051</v>
      </c>
      <c r="B138" s="115"/>
      <c r="C138" s="114"/>
      <c r="D138" s="119"/>
    </row>
    <row r="139" spans="1:4">
      <c r="A139" s="46">
        <v>46049</v>
      </c>
      <c r="B139" s="115" t="s">
        <v>707</v>
      </c>
      <c r="C139" s="114" t="s">
        <v>708</v>
      </c>
      <c r="D139" s="119">
        <v>15318</v>
      </c>
    </row>
    <row r="140" spans="1:4">
      <c r="A140" s="46">
        <v>46049</v>
      </c>
      <c r="B140" s="115"/>
      <c r="C140" s="114"/>
      <c r="D140" s="119"/>
    </row>
    <row r="141" spans="1:4">
      <c r="A141" s="46">
        <v>46027</v>
      </c>
      <c r="B141" s="51" t="s">
        <v>720</v>
      </c>
      <c r="C141" s="34"/>
      <c r="D141" s="23">
        <v>2200</v>
      </c>
    </row>
    <row r="142" spans="1:4">
      <c r="A142" s="46">
        <v>46041</v>
      </c>
      <c r="B142" s="51" t="s">
        <v>721</v>
      </c>
      <c r="C142" s="34" t="s">
        <v>722</v>
      </c>
      <c r="D142" s="23">
        <v>7000</v>
      </c>
    </row>
    <row r="143" spans="1:4">
      <c r="A143" s="46">
        <v>46027</v>
      </c>
      <c r="B143" s="51" t="s">
        <v>736</v>
      </c>
      <c r="C143" s="34" t="s">
        <v>737</v>
      </c>
      <c r="D143" s="23">
        <v>14000</v>
      </c>
    </row>
    <row r="144" spans="1:4">
      <c r="A144" s="46">
        <v>46025</v>
      </c>
      <c r="B144" s="115" t="s">
        <v>740</v>
      </c>
      <c r="C144" s="114" t="s">
        <v>741</v>
      </c>
      <c r="D144" s="119">
        <v>556728.75</v>
      </c>
    </row>
    <row r="145" spans="1:4">
      <c r="A145" s="46">
        <v>46025</v>
      </c>
      <c r="B145" s="115"/>
      <c r="C145" s="114"/>
      <c r="D145" s="119"/>
    </row>
    <row r="146" spans="1:4">
      <c r="A146" s="46">
        <v>46028</v>
      </c>
      <c r="B146" s="115"/>
      <c r="C146" s="114"/>
      <c r="D146" s="119"/>
    </row>
    <row r="147" spans="1:4">
      <c r="A147" s="46">
        <v>46028</v>
      </c>
      <c r="B147" s="115"/>
      <c r="C147" s="114"/>
      <c r="D147" s="119"/>
    </row>
    <row r="148" spans="1:4">
      <c r="A148" s="46">
        <v>46028</v>
      </c>
      <c r="B148" s="115"/>
      <c r="C148" s="114"/>
      <c r="D148" s="119"/>
    </row>
    <row r="149" spans="1:4">
      <c r="A149" s="46">
        <v>46031</v>
      </c>
      <c r="B149" s="115"/>
      <c r="C149" s="114"/>
      <c r="D149" s="119"/>
    </row>
    <row r="150" spans="1:4">
      <c r="A150" s="46">
        <v>46032</v>
      </c>
      <c r="B150" s="115"/>
      <c r="C150" s="114"/>
      <c r="D150" s="119"/>
    </row>
    <row r="151" spans="1:4">
      <c r="A151" s="46">
        <v>46035</v>
      </c>
      <c r="B151" s="115"/>
      <c r="C151" s="114"/>
      <c r="D151" s="119"/>
    </row>
    <row r="152" spans="1:4">
      <c r="A152" s="46">
        <v>46042</v>
      </c>
      <c r="B152" s="115"/>
      <c r="C152" s="114"/>
      <c r="D152" s="119"/>
    </row>
    <row r="153" spans="1:4">
      <c r="A153" s="46">
        <v>46052</v>
      </c>
      <c r="B153" s="115"/>
      <c r="C153" s="114"/>
      <c r="D153" s="119"/>
    </row>
    <row r="154" spans="1:4">
      <c r="A154" s="46">
        <v>46053</v>
      </c>
      <c r="B154" s="115"/>
      <c r="C154" s="114"/>
      <c r="D154" s="119"/>
    </row>
    <row r="155" spans="1:4">
      <c r="A155" s="46">
        <v>46028</v>
      </c>
      <c r="B155" s="115" t="s">
        <v>762</v>
      </c>
      <c r="C155" s="114" t="s">
        <v>763</v>
      </c>
      <c r="D155" s="119">
        <v>24000</v>
      </c>
    </row>
    <row r="156" spans="1:4">
      <c r="A156" s="46">
        <v>46034</v>
      </c>
      <c r="B156" s="115"/>
      <c r="C156" s="114"/>
      <c r="D156" s="119"/>
    </row>
    <row r="157" spans="1:4">
      <c r="A157" s="46">
        <v>46024</v>
      </c>
      <c r="B157" s="115" t="s">
        <v>774</v>
      </c>
      <c r="C157" s="114" t="s">
        <v>775</v>
      </c>
      <c r="D157" s="119">
        <v>17865</v>
      </c>
    </row>
    <row r="158" spans="1:4">
      <c r="A158" s="46">
        <v>46036</v>
      </c>
      <c r="B158" s="115"/>
      <c r="C158" s="114"/>
      <c r="D158" s="119"/>
    </row>
    <row r="159" spans="1:4">
      <c r="A159" s="46">
        <v>46025</v>
      </c>
      <c r="B159" s="115" t="s">
        <v>776</v>
      </c>
      <c r="C159" s="114" t="s">
        <v>777</v>
      </c>
      <c r="D159" s="119">
        <v>231300</v>
      </c>
    </row>
    <row r="160" spans="1:4">
      <c r="A160" s="46">
        <v>46027</v>
      </c>
      <c r="B160" s="115"/>
      <c r="C160" s="114"/>
      <c r="D160" s="119"/>
    </row>
    <row r="161" spans="1:4">
      <c r="A161" s="46">
        <v>46030</v>
      </c>
      <c r="B161" s="115"/>
      <c r="C161" s="114"/>
      <c r="D161" s="119"/>
    </row>
    <row r="162" spans="1:4">
      <c r="A162" s="46">
        <v>46032</v>
      </c>
      <c r="B162" s="115"/>
      <c r="C162" s="114"/>
      <c r="D162" s="119"/>
    </row>
    <row r="163" spans="1:4">
      <c r="A163" s="46">
        <v>46039</v>
      </c>
      <c r="B163" s="115"/>
      <c r="C163" s="114"/>
      <c r="D163" s="119"/>
    </row>
    <row r="164" spans="1:4">
      <c r="A164" s="46">
        <v>46043</v>
      </c>
      <c r="B164" s="115"/>
      <c r="C164" s="114"/>
      <c r="D164" s="119"/>
    </row>
    <row r="165" spans="1:4">
      <c r="A165" s="46">
        <v>46051</v>
      </c>
      <c r="B165" s="115"/>
      <c r="C165" s="114"/>
      <c r="D165" s="119"/>
    </row>
    <row r="166" spans="1:4">
      <c r="A166" s="46">
        <v>46042</v>
      </c>
      <c r="B166" s="51" t="s">
        <v>783</v>
      </c>
      <c r="C166" s="34"/>
      <c r="D166" s="23">
        <v>1000</v>
      </c>
    </row>
    <row r="167" spans="1:4">
      <c r="A167" s="46">
        <v>46050</v>
      </c>
      <c r="B167" s="51" t="s">
        <v>786</v>
      </c>
      <c r="C167" s="34" t="s">
        <v>787</v>
      </c>
      <c r="D167" s="23">
        <v>10800</v>
      </c>
    </row>
    <row r="168" spans="1:4">
      <c r="A168" s="46">
        <v>46050</v>
      </c>
      <c r="B168" s="51" t="s">
        <v>806</v>
      </c>
      <c r="C168" s="34" t="s">
        <v>807</v>
      </c>
      <c r="D168" s="23">
        <v>46770</v>
      </c>
    </row>
    <row r="169" spans="1:4">
      <c r="A169" s="46">
        <v>46028</v>
      </c>
      <c r="B169" s="51" t="s">
        <v>813</v>
      </c>
      <c r="C169" s="34" t="s">
        <v>814</v>
      </c>
      <c r="D169" s="23">
        <v>66000</v>
      </c>
    </row>
    <row r="170" spans="1:4">
      <c r="A170" s="46">
        <v>46046</v>
      </c>
      <c r="B170" s="51" t="s">
        <v>815</v>
      </c>
      <c r="C170" s="34" t="s">
        <v>816</v>
      </c>
      <c r="D170" s="23">
        <v>4020</v>
      </c>
    </row>
    <row r="171" spans="1:4">
      <c r="A171" s="46">
        <v>46035</v>
      </c>
      <c r="B171" s="115" t="s">
        <v>823</v>
      </c>
      <c r="C171" s="114" t="s">
        <v>824</v>
      </c>
      <c r="D171" s="119">
        <v>7420</v>
      </c>
    </row>
    <row r="172" spans="1:4">
      <c r="A172" s="46">
        <v>46044</v>
      </c>
      <c r="B172" s="115"/>
      <c r="C172" s="114"/>
      <c r="D172" s="119"/>
    </row>
    <row r="173" spans="1:4">
      <c r="A173" s="46">
        <v>46050</v>
      </c>
      <c r="B173" s="115"/>
      <c r="C173" s="114"/>
      <c r="D173" s="119"/>
    </row>
    <row r="174" spans="1:4">
      <c r="A174" s="46">
        <v>46039</v>
      </c>
      <c r="B174" s="51" t="s">
        <v>827</v>
      </c>
      <c r="C174" s="34" t="s">
        <v>828</v>
      </c>
      <c r="D174" s="23">
        <v>82500</v>
      </c>
    </row>
    <row r="175" spans="1:4">
      <c r="A175" s="46">
        <v>46046</v>
      </c>
      <c r="B175" s="51" t="s">
        <v>841</v>
      </c>
      <c r="C175" s="34" t="s">
        <v>842</v>
      </c>
      <c r="D175" s="23">
        <v>1520</v>
      </c>
    </row>
    <row r="176" spans="1:4">
      <c r="A176" s="46">
        <v>46023</v>
      </c>
      <c r="B176" s="51" t="s">
        <v>845</v>
      </c>
      <c r="C176" s="34" t="s">
        <v>846</v>
      </c>
      <c r="D176" s="23">
        <v>19675</v>
      </c>
    </row>
    <row r="177" spans="1:4">
      <c r="A177" s="46">
        <v>46031</v>
      </c>
      <c r="B177" s="51" t="s">
        <v>851</v>
      </c>
      <c r="C177" s="34"/>
      <c r="D177" s="23">
        <v>3220</v>
      </c>
    </row>
    <row r="178" spans="1:4">
      <c r="A178" s="46">
        <v>46052</v>
      </c>
      <c r="B178" s="51" t="s">
        <v>852</v>
      </c>
      <c r="C178" s="34"/>
      <c r="D178" s="23">
        <v>1320</v>
      </c>
    </row>
    <row r="179" spans="1:4">
      <c r="A179" s="46">
        <v>46030</v>
      </c>
      <c r="B179" s="115" t="s">
        <v>864</v>
      </c>
      <c r="C179" s="114" t="s">
        <v>865</v>
      </c>
      <c r="D179" s="119">
        <v>6939</v>
      </c>
    </row>
    <row r="180" spans="1:4">
      <c r="A180" s="46">
        <v>46052</v>
      </c>
      <c r="B180" s="115"/>
      <c r="C180" s="114"/>
      <c r="D180" s="119"/>
    </row>
    <row r="181" spans="1:4">
      <c r="A181" s="46">
        <v>46042</v>
      </c>
      <c r="B181" s="51" t="s">
        <v>874</v>
      </c>
      <c r="C181" s="34" t="s">
        <v>875</v>
      </c>
      <c r="D181" s="23">
        <v>5040</v>
      </c>
    </row>
    <row r="182" spans="1:4">
      <c r="A182" s="46">
        <v>46034</v>
      </c>
      <c r="B182" s="51" t="s">
        <v>883</v>
      </c>
      <c r="C182" s="34"/>
      <c r="D182" s="23">
        <v>15320</v>
      </c>
    </row>
    <row r="183" spans="1:4">
      <c r="A183" s="47"/>
      <c r="B183" s="48" t="s">
        <v>918</v>
      </c>
      <c r="C183" s="34"/>
      <c r="D183" s="54">
        <f>SUM(D4:D182)</f>
        <v>4204162.6500000004</v>
      </c>
    </row>
    <row r="185" spans="1:4">
      <c r="D185" s="61"/>
    </row>
  </sheetData>
  <sortState xmlns:xlrd2="http://schemas.microsoft.com/office/spreadsheetml/2017/richdata2" ref="A4:C182">
    <sortCondition ref="B4:B182"/>
  </sortState>
  <mergeCells count="101">
    <mergeCell ref="B171:B173"/>
    <mergeCell ref="C171:C173"/>
    <mergeCell ref="D171:D173"/>
    <mergeCell ref="B179:B180"/>
    <mergeCell ref="C179:C180"/>
    <mergeCell ref="D179:D180"/>
    <mergeCell ref="B157:B158"/>
    <mergeCell ref="C157:C158"/>
    <mergeCell ref="D157:D158"/>
    <mergeCell ref="B159:B165"/>
    <mergeCell ref="C159:C165"/>
    <mergeCell ref="D159:D165"/>
    <mergeCell ref="B144:B154"/>
    <mergeCell ref="C144:C154"/>
    <mergeCell ref="D144:D154"/>
    <mergeCell ref="B155:B156"/>
    <mergeCell ref="C155:C156"/>
    <mergeCell ref="D155:D156"/>
    <mergeCell ref="B136:B138"/>
    <mergeCell ref="C136:C138"/>
    <mergeCell ref="D136:D138"/>
    <mergeCell ref="B139:B140"/>
    <mergeCell ref="C139:C140"/>
    <mergeCell ref="D139:D140"/>
    <mergeCell ref="B127:B129"/>
    <mergeCell ref="C127:C129"/>
    <mergeCell ref="D127:D129"/>
    <mergeCell ref="B131:B132"/>
    <mergeCell ref="C131:C132"/>
    <mergeCell ref="D131:D132"/>
    <mergeCell ref="B115:B118"/>
    <mergeCell ref="C115:C118"/>
    <mergeCell ref="D115:D118"/>
    <mergeCell ref="B123:B124"/>
    <mergeCell ref="C123:C124"/>
    <mergeCell ref="D123:D124"/>
    <mergeCell ref="B107:B108"/>
    <mergeCell ref="C107:C108"/>
    <mergeCell ref="D107:D108"/>
    <mergeCell ref="B111:B113"/>
    <mergeCell ref="C111:C113"/>
    <mergeCell ref="D111:D113"/>
    <mergeCell ref="B96:B99"/>
    <mergeCell ref="C96:C99"/>
    <mergeCell ref="D96:D99"/>
    <mergeCell ref="B105:B106"/>
    <mergeCell ref="C105:C106"/>
    <mergeCell ref="D105:D106"/>
    <mergeCell ref="B92:B93"/>
    <mergeCell ref="C92:C93"/>
    <mergeCell ref="D92:D93"/>
    <mergeCell ref="B94:B95"/>
    <mergeCell ref="C94:C95"/>
    <mergeCell ref="D94:D95"/>
    <mergeCell ref="B82:B83"/>
    <mergeCell ref="C82:C83"/>
    <mergeCell ref="D82:D83"/>
    <mergeCell ref="B88:B89"/>
    <mergeCell ref="C88:C89"/>
    <mergeCell ref="D88:D89"/>
    <mergeCell ref="B71:B73"/>
    <mergeCell ref="C71:C73"/>
    <mergeCell ref="D71:D73"/>
    <mergeCell ref="B78:B79"/>
    <mergeCell ref="C78:C79"/>
    <mergeCell ref="D78:D79"/>
    <mergeCell ref="B64:B67"/>
    <mergeCell ref="C64:C67"/>
    <mergeCell ref="D64:D67"/>
    <mergeCell ref="B69:B70"/>
    <mergeCell ref="C69:C70"/>
    <mergeCell ref="D69:D70"/>
    <mergeCell ref="B60:B61"/>
    <mergeCell ref="C60:C61"/>
    <mergeCell ref="D60:D61"/>
    <mergeCell ref="B62:B63"/>
    <mergeCell ref="C62:C63"/>
    <mergeCell ref="D62:D63"/>
    <mergeCell ref="B38:B47"/>
    <mergeCell ref="C38:C47"/>
    <mergeCell ref="D38:D47"/>
    <mergeCell ref="B49:B50"/>
    <mergeCell ref="C49:C50"/>
    <mergeCell ref="D49:D50"/>
    <mergeCell ref="A1:B1"/>
    <mergeCell ref="A2:B2"/>
    <mergeCell ref="B4:B8"/>
    <mergeCell ref="C4:C8"/>
    <mergeCell ref="D4:D8"/>
    <mergeCell ref="B25:B26"/>
    <mergeCell ref="C25:C26"/>
    <mergeCell ref="D25:D26"/>
    <mergeCell ref="B28:B37"/>
    <mergeCell ref="C28:C37"/>
    <mergeCell ref="D28:D37"/>
    <mergeCell ref="B12:B17"/>
    <mergeCell ref="C12:C17"/>
    <mergeCell ref="D12:D17"/>
    <mergeCell ref="B19:B23"/>
    <mergeCell ref="C19:C23"/>
    <mergeCell ref="D19:D2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B187-29FA-3842-B341-8EE06C36C2FC}">
  <dimension ref="A1:D191"/>
  <sheetViews>
    <sheetView topLeftCell="A175" workbookViewId="0">
      <selection activeCell="D191" sqref="D191"/>
    </sheetView>
  </sheetViews>
  <sheetFormatPr defaultColWidth="8.85546875" defaultRowHeight="15"/>
  <cols>
    <col min="1" max="1" width="10.140625" style="1" customWidth="1"/>
    <col min="2" max="2" width="43.85546875" style="1" customWidth="1"/>
    <col min="3" max="3" width="17.7109375" style="1" customWidth="1"/>
    <col min="4" max="4" width="11.7109375" style="1" customWidth="1"/>
    <col min="5" max="16384" width="8.85546875" style="1"/>
  </cols>
  <sheetData>
    <row r="1" spans="1:4" ht="15.75">
      <c r="A1" s="120" t="s">
        <v>912</v>
      </c>
      <c r="B1" s="120"/>
      <c r="C1" s="45"/>
      <c r="D1" s="52"/>
    </row>
    <row r="2" spans="1:4">
      <c r="A2" s="121" t="s">
        <v>937</v>
      </c>
      <c r="B2" s="121"/>
      <c r="C2" s="45"/>
      <c r="D2" s="52"/>
    </row>
    <row r="3" spans="1:4">
      <c r="A3" s="4" t="s">
        <v>914</v>
      </c>
      <c r="B3" s="5" t="s">
        <v>1</v>
      </c>
      <c r="C3" s="4" t="s">
        <v>2</v>
      </c>
      <c r="D3" s="52" t="s">
        <v>915</v>
      </c>
    </row>
    <row r="4" spans="1:4">
      <c r="A4" s="46">
        <v>46057</v>
      </c>
      <c r="B4" s="51" t="s">
        <v>17</v>
      </c>
      <c r="C4" s="34" t="s">
        <v>18</v>
      </c>
      <c r="D4" s="23">
        <v>9640</v>
      </c>
    </row>
    <row r="5" spans="1:4">
      <c r="A5" s="46">
        <v>46070</v>
      </c>
      <c r="B5" s="51" t="s">
        <v>29</v>
      </c>
      <c r="C5" s="34"/>
      <c r="D5" s="23">
        <v>11625</v>
      </c>
    </row>
    <row r="6" spans="1:4">
      <c r="A6" s="46">
        <v>46072</v>
      </c>
      <c r="B6" s="115" t="s">
        <v>37</v>
      </c>
      <c r="C6" s="114" t="s">
        <v>38</v>
      </c>
      <c r="D6" s="119">
        <v>30045</v>
      </c>
    </row>
    <row r="7" spans="1:4">
      <c r="A7" s="46">
        <v>46079</v>
      </c>
      <c r="B7" s="115"/>
      <c r="C7" s="114"/>
      <c r="D7" s="119"/>
    </row>
    <row r="8" spans="1:4">
      <c r="A8" s="46">
        <v>46056</v>
      </c>
      <c r="B8" s="115" t="s">
        <v>52</v>
      </c>
      <c r="C8" s="114"/>
      <c r="D8" s="119">
        <v>75700</v>
      </c>
    </row>
    <row r="9" spans="1:4">
      <c r="A9" s="46">
        <v>46060</v>
      </c>
      <c r="B9" s="115"/>
      <c r="C9" s="114"/>
      <c r="D9" s="119"/>
    </row>
    <row r="10" spans="1:4">
      <c r="A10" s="46">
        <v>46072</v>
      </c>
      <c r="B10" s="115"/>
      <c r="C10" s="114"/>
      <c r="D10" s="119"/>
    </row>
    <row r="11" spans="1:4">
      <c r="A11" s="46">
        <v>46062</v>
      </c>
      <c r="B11" s="51" t="s">
        <v>61</v>
      </c>
      <c r="C11" s="34"/>
      <c r="D11" s="23">
        <v>18000</v>
      </c>
    </row>
    <row r="12" spans="1:4">
      <c r="A12" s="46">
        <v>46058</v>
      </c>
      <c r="B12" s="51" t="s">
        <v>63</v>
      </c>
      <c r="C12" s="34"/>
      <c r="D12" s="23">
        <v>7910</v>
      </c>
    </row>
    <row r="13" spans="1:4">
      <c r="A13" s="46">
        <v>46062</v>
      </c>
      <c r="B13" s="51" t="s">
        <v>75</v>
      </c>
      <c r="C13" s="34"/>
      <c r="D13" s="23">
        <v>25970</v>
      </c>
    </row>
    <row r="14" spans="1:4">
      <c r="A14" s="46">
        <v>46079</v>
      </c>
      <c r="B14" s="51" t="s">
        <v>78</v>
      </c>
      <c r="C14" s="34" t="s">
        <v>79</v>
      </c>
      <c r="D14" s="23">
        <v>1560</v>
      </c>
    </row>
    <row r="15" spans="1:4">
      <c r="A15" s="46">
        <v>46058</v>
      </c>
      <c r="B15" s="115" t="s">
        <v>108</v>
      </c>
      <c r="C15" s="114" t="s">
        <v>109</v>
      </c>
      <c r="D15" s="119">
        <v>363554</v>
      </c>
    </row>
    <row r="16" spans="1:4">
      <c r="A16" s="46">
        <v>46060</v>
      </c>
      <c r="B16" s="115"/>
      <c r="C16" s="114"/>
      <c r="D16" s="119"/>
    </row>
    <row r="17" spans="1:4">
      <c r="A17" s="46">
        <v>46062</v>
      </c>
      <c r="B17" s="115"/>
      <c r="C17" s="114"/>
      <c r="D17" s="119"/>
    </row>
    <row r="18" spans="1:4">
      <c r="A18" s="46">
        <v>46064</v>
      </c>
      <c r="B18" s="115"/>
      <c r="C18" s="114"/>
      <c r="D18" s="119"/>
    </row>
    <row r="19" spans="1:4">
      <c r="A19" s="46">
        <v>46065</v>
      </c>
      <c r="B19" s="115"/>
      <c r="C19" s="114"/>
      <c r="D19" s="119"/>
    </row>
    <row r="20" spans="1:4">
      <c r="A20" s="46">
        <v>46066</v>
      </c>
      <c r="B20" s="115"/>
      <c r="C20" s="114"/>
      <c r="D20" s="119"/>
    </row>
    <row r="21" spans="1:4">
      <c r="A21" s="46">
        <v>46070</v>
      </c>
      <c r="B21" s="115"/>
      <c r="C21" s="114"/>
      <c r="D21" s="119"/>
    </row>
    <row r="22" spans="1:4">
      <c r="A22" s="46">
        <v>46070</v>
      </c>
      <c r="B22" s="115"/>
      <c r="C22" s="114"/>
      <c r="D22" s="119"/>
    </row>
    <row r="23" spans="1:4">
      <c r="A23" s="46">
        <v>46072</v>
      </c>
      <c r="B23" s="115"/>
      <c r="C23" s="114"/>
      <c r="D23" s="119"/>
    </row>
    <row r="24" spans="1:4">
      <c r="A24" s="46">
        <v>46074</v>
      </c>
      <c r="B24" s="115"/>
      <c r="C24" s="114"/>
      <c r="D24" s="119"/>
    </row>
    <row r="25" spans="1:4">
      <c r="A25" s="46">
        <v>46076</v>
      </c>
      <c r="B25" s="115"/>
      <c r="C25" s="114"/>
      <c r="D25" s="119"/>
    </row>
    <row r="26" spans="1:4">
      <c r="A26" s="46">
        <v>46081</v>
      </c>
      <c r="B26" s="115"/>
      <c r="C26" s="114"/>
      <c r="D26" s="119"/>
    </row>
    <row r="27" spans="1:4">
      <c r="A27" s="46">
        <v>46055</v>
      </c>
      <c r="B27" s="115" t="s">
        <v>110</v>
      </c>
      <c r="C27" s="114" t="s">
        <v>111</v>
      </c>
      <c r="D27" s="119">
        <v>375800</v>
      </c>
    </row>
    <row r="28" spans="1:4">
      <c r="A28" s="46">
        <v>46058</v>
      </c>
      <c r="B28" s="115"/>
      <c r="C28" s="114"/>
      <c r="D28" s="119"/>
    </row>
    <row r="29" spans="1:4">
      <c r="A29" s="46">
        <v>46059</v>
      </c>
      <c r="B29" s="115"/>
      <c r="C29" s="114"/>
      <c r="D29" s="119"/>
    </row>
    <row r="30" spans="1:4">
      <c r="A30" s="46">
        <v>46072</v>
      </c>
      <c r="B30" s="115"/>
      <c r="C30" s="114"/>
      <c r="D30" s="119"/>
    </row>
    <row r="31" spans="1:4">
      <c r="A31" s="46">
        <v>46076</v>
      </c>
      <c r="B31" s="115"/>
      <c r="C31" s="114"/>
      <c r="D31" s="119"/>
    </row>
    <row r="32" spans="1:4">
      <c r="A32" s="46">
        <v>46080</v>
      </c>
      <c r="B32" s="115"/>
      <c r="C32" s="114"/>
      <c r="D32" s="119"/>
    </row>
    <row r="33" spans="1:4">
      <c r="A33" s="46">
        <v>46081</v>
      </c>
      <c r="B33" s="51" t="s">
        <v>112</v>
      </c>
      <c r="C33" s="34" t="s">
        <v>113</v>
      </c>
      <c r="D33" s="23">
        <v>680825</v>
      </c>
    </row>
    <row r="34" spans="1:4">
      <c r="A34" s="46">
        <v>46081</v>
      </c>
      <c r="B34" s="51" t="s">
        <v>120</v>
      </c>
      <c r="C34" s="34" t="s">
        <v>121</v>
      </c>
      <c r="D34" s="23">
        <v>21000</v>
      </c>
    </row>
    <row r="35" spans="1:4">
      <c r="A35" s="46">
        <v>46076</v>
      </c>
      <c r="B35" s="51" t="s">
        <v>130</v>
      </c>
      <c r="C35" s="34" t="s">
        <v>131</v>
      </c>
      <c r="D35" s="23">
        <v>3200</v>
      </c>
    </row>
    <row r="36" spans="1:4">
      <c r="A36" s="46">
        <v>46055</v>
      </c>
      <c r="B36" s="115" t="s">
        <v>136</v>
      </c>
      <c r="C36" s="114" t="s">
        <v>137</v>
      </c>
      <c r="D36" s="119">
        <v>108750</v>
      </c>
    </row>
    <row r="37" spans="1:4">
      <c r="A37" s="46">
        <v>46062</v>
      </c>
      <c r="B37" s="115"/>
      <c r="C37" s="114"/>
      <c r="D37" s="119"/>
    </row>
    <row r="38" spans="1:4">
      <c r="A38" s="46">
        <v>46064</v>
      </c>
      <c r="B38" s="115"/>
      <c r="C38" s="114"/>
      <c r="D38" s="119"/>
    </row>
    <row r="39" spans="1:4">
      <c r="A39" s="46">
        <v>46064</v>
      </c>
      <c r="B39" s="115"/>
      <c r="C39" s="114"/>
      <c r="D39" s="119"/>
    </row>
    <row r="40" spans="1:4">
      <c r="A40" s="46">
        <v>46076</v>
      </c>
      <c r="B40" s="115"/>
      <c r="C40" s="114"/>
      <c r="D40" s="119"/>
    </row>
    <row r="41" spans="1:4">
      <c r="A41" s="46">
        <v>46069</v>
      </c>
      <c r="B41" s="51" t="s">
        <v>140</v>
      </c>
      <c r="C41" s="34" t="s">
        <v>141</v>
      </c>
      <c r="D41" s="23">
        <v>4600</v>
      </c>
    </row>
    <row r="42" spans="1:4">
      <c r="A42" s="46">
        <v>46079</v>
      </c>
      <c r="B42" s="51" t="s">
        <v>147</v>
      </c>
      <c r="C42" s="34" t="s">
        <v>148</v>
      </c>
      <c r="D42" s="23">
        <v>13948</v>
      </c>
    </row>
    <row r="43" spans="1:4">
      <c r="A43" s="46">
        <v>46066</v>
      </c>
      <c r="B43" s="51" t="s">
        <v>155</v>
      </c>
      <c r="C43" s="34"/>
      <c r="D43" s="23">
        <v>2552</v>
      </c>
    </row>
    <row r="44" spans="1:4">
      <c r="A44" s="46">
        <v>46079</v>
      </c>
      <c r="B44" s="51" t="s">
        <v>158</v>
      </c>
      <c r="C44" s="34" t="s">
        <v>159</v>
      </c>
      <c r="D44" s="23">
        <v>760</v>
      </c>
    </row>
    <row r="45" spans="1:4">
      <c r="A45" s="46">
        <v>46059</v>
      </c>
      <c r="B45" s="115" t="s">
        <v>162</v>
      </c>
      <c r="C45" s="114"/>
      <c r="D45" s="119">
        <v>75480</v>
      </c>
    </row>
    <row r="46" spans="1:4">
      <c r="A46" s="46">
        <v>46076</v>
      </c>
      <c r="B46" s="115"/>
      <c r="C46" s="114"/>
      <c r="D46" s="119"/>
    </row>
    <row r="47" spans="1:4">
      <c r="A47" s="46">
        <v>46069</v>
      </c>
      <c r="B47" s="51" t="s">
        <v>164</v>
      </c>
      <c r="C47" s="34" t="s">
        <v>165</v>
      </c>
      <c r="D47" s="23">
        <v>11250</v>
      </c>
    </row>
    <row r="48" spans="1:4">
      <c r="A48" s="46">
        <v>46063</v>
      </c>
      <c r="B48" s="115" t="s">
        <v>174</v>
      </c>
      <c r="C48" s="114"/>
      <c r="D48" s="119">
        <v>5425</v>
      </c>
    </row>
    <row r="49" spans="1:4">
      <c r="A49" s="46">
        <v>46064</v>
      </c>
      <c r="B49" s="115"/>
      <c r="C49" s="114"/>
      <c r="D49" s="119"/>
    </row>
    <row r="50" spans="1:4">
      <c r="A50" s="46">
        <v>46076</v>
      </c>
      <c r="B50" s="51" t="s">
        <v>198</v>
      </c>
      <c r="C50" s="34" t="s">
        <v>199</v>
      </c>
      <c r="D50" s="23">
        <v>172500</v>
      </c>
    </row>
    <row r="51" spans="1:4">
      <c r="A51" s="46">
        <v>46060</v>
      </c>
      <c r="B51" s="51" t="s">
        <v>215</v>
      </c>
      <c r="C51" s="34" t="s">
        <v>216</v>
      </c>
      <c r="D51" s="23">
        <v>3100</v>
      </c>
    </row>
    <row r="52" spans="1:4">
      <c r="A52" s="46">
        <v>46060</v>
      </c>
      <c r="B52" s="51" t="s">
        <v>221</v>
      </c>
      <c r="C52" s="34"/>
      <c r="D52" s="23">
        <v>13655</v>
      </c>
    </row>
    <row r="53" spans="1:4">
      <c r="A53" s="46">
        <v>46071</v>
      </c>
      <c r="B53" s="51" t="s">
        <v>264</v>
      </c>
      <c r="C53" s="34" t="s">
        <v>265</v>
      </c>
      <c r="D53" s="23">
        <v>1185</v>
      </c>
    </row>
    <row r="54" spans="1:4">
      <c r="A54" s="46">
        <v>46067</v>
      </c>
      <c r="B54" s="51" t="s">
        <v>269</v>
      </c>
      <c r="C54" s="34" t="s">
        <v>270</v>
      </c>
      <c r="D54" s="23">
        <v>7900</v>
      </c>
    </row>
    <row r="55" spans="1:4">
      <c r="A55" s="46">
        <v>46056</v>
      </c>
      <c r="B55" s="115" t="s">
        <v>271</v>
      </c>
      <c r="C55" s="114" t="s">
        <v>272</v>
      </c>
      <c r="D55" s="119">
        <v>168400</v>
      </c>
    </row>
    <row r="56" spans="1:4">
      <c r="A56" s="46">
        <v>46058</v>
      </c>
      <c r="B56" s="115"/>
      <c r="C56" s="114"/>
      <c r="D56" s="119"/>
    </row>
    <row r="57" spans="1:4">
      <c r="A57" s="46">
        <v>46064</v>
      </c>
      <c r="B57" s="115"/>
      <c r="C57" s="114"/>
      <c r="D57" s="119"/>
    </row>
    <row r="58" spans="1:4">
      <c r="A58" s="46">
        <v>46066</v>
      </c>
      <c r="B58" s="115"/>
      <c r="C58" s="114"/>
      <c r="D58" s="119"/>
    </row>
    <row r="59" spans="1:4">
      <c r="A59" s="46">
        <v>46078</v>
      </c>
      <c r="B59" s="115" t="s">
        <v>273</v>
      </c>
      <c r="C59" s="114" t="s">
        <v>274</v>
      </c>
      <c r="D59" s="119">
        <v>170050</v>
      </c>
    </row>
    <row r="60" spans="1:4">
      <c r="A60" s="46">
        <v>46079</v>
      </c>
      <c r="B60" s="115"/>
      <c r="C60" s="114"/>
      <c r="D60" s="119"/>
    </row>
    <row r="61" spans="1:4">
      <c r="A61" s="46">
        <v>46079</v>
      </c>
      <c r="B61" s="115"/>
      <c r="C61" s="114"/>
      <c r="D61" s="119"/>
    </row>
    <row r="62" spans="1:4">
      <c r="A62" s="46">
        <v>46080</v>
      </c>
      <c r="B62" s="115"/>
      <c r="C62" s="114"/>
      <c r="D62" s="119"/>
    </row>
    <row r="63" spans="1:4">
      <c r="A63" s="46">
        <v>46071</v>
      </c>
      <c r="B63" s="51" t="s">
        <v>282</v>
      </c>
      <c r="C63" s="34" t="s">
        <v>283</v>
      </c>
      <c r="D63" s="23">
        <v>18670</v>
      </c>
    </row>
    <row r="64" spans="1:4">
      <c r="A64" s="46">
        <v>46065</v>
      </c>
      <c r="B64" s="51" t="s">
        <v>285</v>
      </c>
      <c r="C64" s="34" t="s">
        <v>286</v>
      </c>
      <c r="D64" s="23">
        <v>27600</v>
      </c>
    </row>
    <row r="65" spans="1:4">
      <c r="A65" s="46">
        <v>46066</v>
      </c>
      <c r="B65" s="51" t="s">
        <v>288</v>
      </c>
      <c r="C65" s="34" t="s">
        <v>289</v>
      </c>
      <c r="D65" s="23">
        <v>2710</v>
      </c>
    </row>
    <row r="66" spans="1:4">
      <c r="A66" s="46">
        <v>46064</v>
      </c>
      <c r="B66" s="51" t="s">
        <v>303</v>
      </c>
      <c r="C66" s="34" t="s">
        <v>304</v>
      </c>
      <c r="D66" s="23">
        <v>147117</v>
      </c>
    </row>
    <row r="67" spans="1:4">
      <c r="A67" s="46">
        <v>46077</v>
      </c>
      <c r="B67" s="51" t="s">
        <v>309</v>
      </c>
      <c r="C67" s="34" t="s">
        <v>310</v>
      </c>
      <c r="D67" s="23">
        <v>2200</v>
      </c>
    </row>
    <row r="68" spans="1:4">
      <c r="A68" s="46">
        <v>46056</v>
      </c>
      <c r="B68" s="115" t="s">
        <v>313</v>
      </c>
      <c r="C68" s="114" t="s">
        <v>314</v>
      </c>
      <c r="D68" s="119">
        <v>42530</v>
      </c>
    </row>
    <row r="69" spans="1:4">
      <c r="A69" s="46">
        <v>46072</v>
      </c>
      <c r="B69" s="115"/>
      <c r="C69" s="114"/>
      <c r="D69" s="119"/>
    </row>
    <row r="70" spans="1:4">
      <c r="A70" s="46">
        <v>46058</v>
      </c>
      <c r="B70" s="51" t="s">
        <v>316</v>
      </c>
      <c r="C70" s="34" t="s">
        <v>317</v>
      </c>
      <c r="D70" s="23">
        <v>16540</v>
      </c>
    </row>
    <row r="71" spans="1:4">
      <c r="A71" s="46">
        <v>46071</v>
      </c>
      <c r="B71" s="51" t="s">
        <v>319</v>
      </c>
      <c r="C71" s="34" t="s">
        <v>320</v>
      </c>
      <c r="D71" s="23">
        <v>6900</v>
      </c>
    </row>
    <row r="72" spans="1:4">
      <c r="A72" s="46">
        <v>46056</v>
      </c>
      <c r="B72" s="115" t="s">
        <v>321</v>
      </c>
      <c r="C72" s="114" t="s">
        <v>322</v>
      </c>
      <c r="D72" s="119">
        <v>225630</v>
      </c>
    </row>
    <row r="73" spans="1:4">
      <c r="A73" s="46">
        <v>46058</v>
      </c>
      <c r="B73" s="115"/>
      <c r="C73" s="114"/>
      <c r="D73" s="119"/>
    </row>
    <row r="74" spans="1:4">
      <c r="A74" s="46">
        <v>46065</v>
      </c>
      <c r="B74" s="115"/>
      <c r="C74" s="114"/>
      <c r="D74" s="119"/>
    </row>
    <row r="75" spans="1:4">
      <c r="A75" s="46">
        <v>46072</v>
      </c>
      <c r="B75" s="115"/>
      <c r="C75" s="114"/>
      <c r="D75" s="119"/>
    </row>
    <row r="76" spans="1:4">
      <c r="A76" s="46">
        <v>46056</v>
      </c>
      <c r="B76" s="115" t="s">
        <v>330</v>
      </c>
      <c r="C76" s="114" t="s">
        <v>331</v>
      </c>
      <c r="D76" s="119">
        <v>12880</v>
      </c>
    </row>
    <row r="77" spans="1:4">
      <c r="A77" s="46">
        <v>46058</v>
      </c>
      <c r="B77" s="115"/>
      <c r="C77" s="114"/>
      <c r="D77" s="119"/>
    </row>
    <row r="78" spans="1:4">
      <c r="A78" s="46">
        <v>46062</v>
      </c>
      <c r="B78" s="51" t="s">
        <v>333</v>
      </c>
      <c r="C78" s="34"/>
      <c r="D78" s="23">
        <v>10000</v>
      </c>
    </row>
    <row r="79" spans="1:4">
      <c r="A79" s="46">
        <v>46066</v>
      </c>
      <c r="B79" s="51" t="s">
        <v>334</v>
      </c>
      <c r="C79" s="34" t="s">
        <v>335</v>
      </c>
      <c r="D79" s="23">
        <v>114600</v>
      </c>
    </row>
    <row r="80" spans="1:4">
      <c r="A80" s="46">
        <v>46058</v>
      </c>
      <c r="B80" s="51" t="s">
        <v>343</v>
      </c>
      <c r="C80" s="34" t="s">
        <v>938</v>
      </c>
      <c r="D80" s="23">
        <v>800</v>
      </c>
    </row>
    <row r="81" spans="1:4">
      <c r="A81" s="46">
        <v>46072</v>
      </c>
      <c r="B81" s="115" t="s">
        <v>350</v>
      </c>
      <c r="C81" s="114" t="s">
        <v>347</v>
      </c>
      <c r="D81" s="119">
        <v>5100</v>
      </c>
    </row>
    <row r="82" spans="1:4">
      <c r="A82" s="46">
        <v>46073</v>
      </c>
      <c r="B82" s="115"/>
      <c r="C82" s="114"/>
      <c r="D82" s="119"/>
    </row>
    <row r="83" spans="1:4">
      <c r="A83" s="46">
        <v>46065</v>
      </c>
      <c r="B83" s="115" t="s">
        <v>351</v>
      </c>
      <c r="C83" s="114" t="s">
        <v>352</v>
      </c>
      <c r="D83" s="119">
        <v>33684</v>
      </c>
    </row>
    <row r="84" spans="1:4">
      <c r="A84" s="46">
        <v>46077</v>
      </c>
      <c r="B84" s="115"/>
      <c r="C84" s="114"/>
      <c r="D84" s="119"/>
    </row>
    <row r="85" spans="1:4">
      <c r="A85" s="46">
        <v>46055</v>
      </c>
      <c r="B85" s="115" t="s">
        <v>353</v>
      </c>
      <c r="C85" s="114" t="s">
        <v>354</v>
      </c>
      <c r="D85" s="119">
        <v>18170</v>
      </c>
    </row>
    <row r="86" spans="1:4">
      <c r="A86" s="46">
        <v>46078</v>
      </c>
      <c r="B86" s="115"/>
      <c r="C86" s="114"/>
      <c r="D86" s="119"/>
    </row>
    <row r="87" spans="1:4">
      <c r="A87" s="46">
        <v>46069</v>
      </c>
      <c r="B87" s="51" t="s">
        <v>361</v>
      </c>
      <c r="C87" s="34" t="s">
        <v>362</v>
      </c>
      <c r="D87" s="23">
        <v>60000</v>
      </c>
    </row>
    <row r="88" spans="1:4">
      <c r="A88" s="46">
        <v>46055</v>
      </c>
      <c r="B88" s="51" t="s">
        <v>363</v>
      </c>
      <c r="C88" s="34" t="s">
        <v>364</v>
      </c>
      <c r="D88" s="23">
        <v>4761.8999999999996</v>
      </c>
    </row>
    <row r="89" spans="1:4">
      <c r="A89" s="46">
        <v>46059</v>
      </c>
      <c r="B89" s="115" t="s">
        <v>365</v>
      </c>
      <c r="C89" s="114" t="s">
        <v>366</v>
      </c>
      <c r="D89" s="119">
        <v>33300</v>
      </c>
    </row>
    <row r="90" spans="1:4">
      <c r="A90" s="46">
        <v>46064</v>
      </c>
      <c r="B90" s="115"/>
      <c r="C90" s="114"/>
      <c r="D90" s="119"/>
    </row>
    <row r="91" spans="1:4">
      <c r="A91" s="46">
        <v>46072</v>
      </c>
      <c r="B91" s="115" t="s">
        <v>374</v>
      </c>
      <c r="C91" s="114" t="s">
        <v>375</v>
      </c>
      <c r="D91" s="119">
        <v>710</v>
      </c>
    </row>
    <row r="92" spans="1:4">
      <c r="A92" s="46">
        <v>46080</v>
      </c>
      <c r="B92" s="115"/>
      <c r="C92" s="114"/>
      <c r="D92" s="119"/>
    </row>
    <row r="93" spans="1:4">
      <c r="A93" s="46">
        <v>46072</v>
      </c>
      <c r="B93" s="51" t="s">
        <v>388</v>
      </c>
      <c r="C93" s="34" t="s">
        <v>389</v>
      </c>
      <c r="D93" s="23">
        <v>34700</v>
      </c>
    </row>
    <row r="94" spans="1:4">
      <c r="A94" s="46">
        <v>46064</v>
      </c>
      <c r="B94" s="51" t="s">
        <v>400</v>
      </c>
      <c r="C94" s="34" t="s">
        <v>401</v>
      </c>
      <c r="D94" s="23">
        <v>87000</v>
      </c>
    </row>
    <row r="95" spans="1:4">
      <c r="A95" s="46">
        <v>46072</v>
      </c>
      <c r="B95" s="51" t="s">
        <v>421</v>
      </c>
      <c r="C95" s="34" t="s">
        <v>422</v>
      </c>
      <c r="D95" s="23">
        <v>40800</v>
      </c>
    </row>
    <row r="96" spans="1:4">
      <c r="A96" s="46">
        <v>46080</v>
      </c>
      <c r="B96" s="51" t="s">
        <v>431</v>
      </c>
      <c r="C96" s="34" t="s">
        <v>432</v>
      </c>
      <c r="D96" s="23">
        <v>7800</v>
      </c>
    </row>
    <row r="97" spans="1:4">
      <c r="A97" s="46">
        <v>46078</v>
      </c>
      <c r="B97" s="51" t="s">
        <v>436</v>
      </c>
      <c r="C97" s="34" t="s">
        <v>437</v>
      </c>
      <c r="D97" s="23">
        <v>5593</v>
      </c>
    </row>
    <row r="98" spans="1:4">
      <c r="A98" s="46">
        <v>46070</v>
      </c>
      <c r="B98" s="51" t="s">
        <v>446</v>
      </c>
      <c r="C98" s="34" t="s">
        <v>447</v>
      </c>
      <c r="D98" s="23">
        <v>7325</v>
      </c>
    </row>
    <row r="99" spans="1:4">
      <c r="A99" s="46">
        <v>46060</v>
      </c>
      <c r="B99" s="115" t="s">
        <v>453</v>
      </c>
      <c r="C99" s="114"/>
      <c r="D99" s="119">
        <v>8100</v>
      </c>
    </row>
    <row r="100" spans="1:4">
      <c r="A100" s="46">
        <v>46060</v>
      </c>
      <c r="B100" s="115"/>
      <c r="C100" s="114"/>
      <c r="D100" s="119"/>
    </row>
    <row r="101" spans="1:4">
      <c r="A101" s="46">
        <v>46071</v>
      </c>
      <c r="B101" s="115" t="s">
        <v>464</v>
      </c>
      <c r="C101" s="114" t="s">
        <v>465</v>
      </c>
      <c r="D101" s="119">
        <v>86190</v>
      </c>
    </row>
    <row r="102" spans="1:4">
      <c r="A102" s="46">
        <v>46073</v>
      </c>
      <c r="B102" s="115"/>
      <c r="C102" s="114"/>
      <c r="D102" s="119"/>
    </row>
    <row r="103" spans="1:4">
      <c r="A103" s="46">
        <v>46058</v>
      </c>
      <c r="B103" s="115" t="s">
        <v>470</v>
      </c>
      <c r="C103" s="114" t="s">
        <v>471</v>
      </c>
      <c r="D103" s="119">
        <v>465000</v>
      </c>
    </row>
    <row r="104" spans="1:4">
      <c r="A104" s="46">
        <v>46064</v>
      </c>
      <c r="B104" s="115"/>
      <c r="C104" s="114"/>
      <c r="D104" s="119"/>
    </row>
    <row r="105" spans="1:4">
      <c r="A105" s="46">
        <v>46072</v>
      </c>
      <c r="B105" s="115"/>
      <c r="C105" s="114"/>
      <c r="D105" s="119"/>
    </row>
    <row r="106" spans="1:4">
      <c r="A106" s="46">
        <v>46081</v>
      </c>
      <c r="B106" s="115"/>
      <c r="C106" s="114"/>
      <c r="D106" s="119"/>
    </row>
    <row r="107" spans="1:4">
      <c r="A107" s="46">
        <v>46079</v>
      </c>
      <c r="B107" s="51" t="s">
        <v>472</v>
      </c>
      <c r="C107" s="34" t="s">
        <v>473</v>
      </c>
      <c r="D107" s="23">
        <v>88135</v>
      </c>
    </row>
    <row r="108" spans="1:4">
      <c r="A108" s="46">
        <v>46078</v>
      </c>
      <c r="B108" s="51" t="s">
        <v>474</v>
      </c>
      <c r="C108" s="34" t="s">
        <v>475</v>
      </c>
      <c r="D108" s="23">
        <v>46410</v>
      </c>
    </row>
    <row r="109" spans="1:4">
      <c r="A109" s="46">
        <v>46072</v>
      </c>
      <c r="B109" s="51" t="s">
        <v>479</v>
      </c>
      <c r="C109" s="34" t="s">
        <v>480</v>
      </c>
      <c r="D109" s="23">
        <v>1650</v>
      </c>
    </row>
    <row r="110" spans="1:4">
      <c r="A110" s="46">
        <v>46060</v>
      </c>
      <c r="B110" s="51" t="s">
        <v>481</v>
      </c>
      <c r="C110" s="34" t="s">
        <v>482</v>
      </c>
      <c r="D110" s="23">
        <v>19642</v>
      </c>
    </row>
    <row r="111" spans="1:4">
      <c r="A111" s="46">
        <v>46079</v>
      </c>
      <c r="B111" s="51" t="s">
        <v>483</v>
      </c>
      <c r="C111" s="34" t="s">
        <v>484</v>
      </c>
      <c r="D111" s="23">
        <v>90000</v>
      </c>
    </row>
    <row r="112" spans="1:4">
      <c r="A112" s="46">
        <v>46058</v>
      </c>
      <c r="B112" s="115" t="s">
        <v>487</v>
      </c>
      <c r="C112" s="114" t="s">
        <v>488</v>
      </c>
      <c r="D112" s="119">
        <v>171000</v>
      </c>
    </row>
    <row r="113" spans="1:4">
      <c r="A113" s="46">
        <v>46059</v>
      </c>
      <c r="B113" s="115"/>
      <c r="C113" s="114"/>
      <c r="D113" s="119"/>
    </row>
    <row r="114" spans="1:4">
      <c r="A114" s="46">
        <v>46064</v>
      </c>
      <c r="B114" s="115"/>
      <c r="C114" s="114"/>
      <c r="D114" s="119"/>
    </row>
    <row r="115" spans="1:4">
      <c r="A115" s="46">
        <v>46058</v>
      </c>
      <c r="B115" s="51" t="s">
        <v>503</v>
      </c>
      <c r="C115" s="34" t="s">
        <v>504</v>
      </c>
      <c r="D115" s="23">
        <v>75600</v>
      </c>
    </row>
    <row r="116" spans="1:4">
      <c r="A116" s="46">
        <v>46060</v>
      </c>
      <c r="B116" s="51" t="s">
        <v>518</v>
      </c>
      <c r="C116" s="34"/>
      <c r="D116" s="23">
        <v>6954</v>
      </c>
    </row>
    <row r="117" spans="1:4">
      <c r="A117" s="46">
        <v>46067</v>
      </c>
      <c r="B117" s="115" t="s">
        <v>526</v>
      </c>
      <c r="C117" s="114" t="s">
        <v>527</v>
      </c>
      <c r="D117" s="119">
        <v>7970</v>
      </c>
    </row>
    <row r="118" spans="1:4">
      <c r="A118" s="46">
        <v>46071</v>
      </c>
      <c r="B118" s="115"/>
      <c r="C118" s="114"/>
      <c r="D118" s="119"/>
    </row>
    <row r="119" spans="1:4">
      <c r="A119" s="46">
        <v>46055</v>
      </c>
      <c r="B119" s="51" t="s">
        <v>528</v>
      </c>
      <c r="C119" s="34" t="s">
        <v>529</v>
      </c>
      <c r="D119" s="23">
        <v>30600</v>
      </c>
    </row>
    <row r="120" spans="1:4">
      <c r="A120" s="46">
        <v>46074</v>
      </c>
      <c r="B120" s="51" t="s">
        <v>534</v>
      </c>
      <c r="C120" s="34" t="s">
        <v>535</v>
      </c>
      <c r="D120" s="23">
        <v>15000</v>
      </c>
    </row>
    <row r="121" spans="1:4">
      <c r="A121" s="46">
        <v>46057</v>
      </c>
      <c r="B121" s="51" t="s">
        <v>550</v>
      </c>
      <c r="C121" s="34" t="s">
        <v>551</v>
      </c>
      <c r="D121" s="23">
        <v>6000</v>
      </c>
    </row>
    <row r="122" spans="1:4">
      <c r="A122" s="46">
        <v>46056</v>
      </c>
      <c r="B122" s="51" t="s">
        <v>552</v>
      </c>
      <c r="C122" s="34" t="s">
        <v>553</v>
      </c>
      <c r="D122" s="23">
        <v>69000</v>
      </c>
    </row>
    <row r="123" spans="1:4">
      <c r="A123" s="46">
        <v>46063</v>
      </c>
      <c r="B123" s="51" t="s">
        <v>556</v>
      </c>
      <c r="C123" s="34" t="s">
        <v>557</v>
      </c>
      <c r="D123" s="23">
        <v>12000</v>
      </c>
    </row>
    <row r="124" spans="1:4">
      <c r="A124" s="46">
        <v>46057</v>
      </c>
      <c r="B124" s="51" t="s">
        <v>558</v>
      </c>
      <c r="C124" s="34" t="s">
        <v>559</v>
      </c>
      <c r="D124" s="23">
        <v>2650</v>
      </c>
    </row>
    <row r="125" spans="1:4">
      <c r="A125" s="46">
        <v>46055</v>
      </c>
      <c r="B125" s="51" t="s">
        <v>570</v>
      </c>
      <c r="C125" s="34" t="s">
        <v>571</v>
      </c>
      <c r="D125" s="23">
        <v>12000</v>
      </c>
    </row>
    <row r="126" spans="1:4">
      <c r="A126" s="46">
        <v>46080</v>
      </c>
      <c r="B126" s="51" t="s">
        <v>586</v>
      </c>
      <c r="C126" s="34" t="s">
        <v>587</v>
      </c>
      <c r="D126" s="23">
        <v>9000</v>
      </c>
    </row>
    <row r="127" spans="1:4">
      <c r="A127" s="46">
        <v>46070</v>
      </c>
      <c r="B127" s="51" t="s">
        <v>589</v>
      </c>
      <c r="C127" s="34"/>
      <c r="D127" s="23">
        <v>11500</v>
      </c>
    </row>
    <row r="128" spans="1:4">
      <c r="A128" s="46">
        <v>46073</v>
      </c>
      <c r="B128" s="51" t="s">
        <v>590</v>
      </c>
      <c r="C128" s="34" t="s">
        <v>591</v>
      </c>
      <c r="D128" s="23">
        <v>3300</v>
      </c>
    </row>
    <row r="129" spans="1:4">
      <c r="A129" s="46">
        <v>46060</v>
      </c>
      <c r="B129" s="51" t="s">
        <v>596</v>
      </c>
      <c r="C129" s="34" t="s">
        <v>597</v>
      </c>
      <c r="D129" s="23">
        <v>15840</v>
      </c>
    </row>
    <row r="130" spans="1:4">
      <c r="A130" s="46">
        <v>46078</v>
      </c>
      <c r="B130" s="51" t="s">
        <v>612</v>
      </c>
      <c r="C130" s="34" t="s">
        <v>613</v>
      </c>
      <c r="D130" s="23">
        <v>670</v>
      </c>
    </row>
    <row r="131" spans="1:4">
      <c r="A131" s="46">
        <v>46072</v>
      </c>
      <c r="B131" s="115" t="s">
        <v>627</v>
      </c>
      <c r="C131" s="114" t="s">
        <v>628</v>
      </c>
      <c r="D131" s="119">
        <v>48400</v>
      </c>
    </row>
    <row r="132" spans="1:4">
      <c r="A132" s="46">
        <v>46072</v>
      </c>
      <c r="B132" s="115"/>
      <c r="C132" s="114"/>
      <c r="D132" s="119"/>
    </row>
    <row r="133" spans="1:4">
      <c r="A133" s="46">
        <v>46072</v>
      </c>
      <c r="B133" s="115"/>
      <c r="C133" s="114"/>
      <c r="D133" s="119"/>
    </row>
    <row r="134" spans="1:4">
      <c r="A134" s="46">
        <v>46059</v>
      </c>
      <c r="B134" s="51" t="s">
        <v>632</v>
      </c>
      <c r="C134" s="34" t="s">
        <v>633</v>
      </c>
      <c r="D134" s="23">
        <v>19050</v>
      </c>
    </row>
    <row r="135" spans="1:4">
      <c r="A135" s="46">
        <v>46065</v>
      </c>
      <c r="B135" s="115" t="s">
        <v>634</v>
      </c>
      <c r="C135" s="114"/>
      <c r="D135" s="119">
        <v>17180</v>
      </c>
    </row>
    <row r="136" spans="1:4">
      <c r="A136" s="46">
        <v>46065</v>
      </c>
      <c r="B136" s="115"/>
      <c r="C136" s="114"/>
      <c r="D136" s="119"/>
    </row>
    <row r="137" spans="1:4">
      <c r="A137" s="46">
        <v>46074</v>
      </c>
      <c r="B137" s="115"/>
      <c r="C137" s="114"/>
      <c r="D137" s="119"/>
    </row>
    <row r="138" spans="1:4">
      <c r="A138" s="46">
        <v>46058</v>
      </c>
      <c r="B138" s="51" t="s">
        <v>637</v>
      </c>
      <c r="C138" s="34" t="s">
        <v>638</v>
      </c>
      <c r="D138" s="23">
        <v>2640</v>
      </c>
    </row>
    <row r="139" spans="1:4">
      <c r="A139" s="46">
        <v>46065</v>
      </c>
      <c r="B139" s="51" t="s">
        <v>647</v>
      </c>
      <c r="C139" s="34" t="s">
        <v>648</v>
      </c>
      <c r="D139" s="23">
        <v>159125</v>
      </c>
    </row>
    <row r="140" spans="1:4">
      <c r="A140" s="46">
        <v>46056</v>
      </c>
      <c r="B140" s="115" t="s">
        <v>655</v>
      </c>
      <c r="C140" s="114" t="s">
        <v>656</v>
      </c>
      <c r="D140" s="119">
        <v>16940</v>
      </c>
    </row>
    <row r="141" spans="1:4">
      <c r="A141" s="46">
        <v>46069</v>
      </c>
      <c r="B141" s="115"/>
      <c r="C141" s="114"/>
      <c r="D141" s="119"/>
    </row>
    <row r="142" spans="1:4">
      <c r="A142" s="46">
        <v>46079</v>
      </c>
      <c r="B142" s="115"/>
      <c r="C142" s="114"/>
      <c r="D142" s="119"/>
    </row>
    <row r="143" spans="1:4">
      <c r="A143" s="46">
        <v>46063</v>
      </c>
      <c r="B143" s="51" t="s">
        <v>670</v>
      </c>
      <c r="C143" s="34" t="s">
        <v>671</v>
      </c>
      <c r="D143" s="23">
        <v>3150</v>
      </c>
    </row>
    <row r="144" spans="1:4">
      <c r="A144" s="46">
        <v>46081</v>
      </c>
      <c r="B144" s="51" t="s">
        <v>687</v>
      </c>
      <c r="C144" s="34" t="s">
        <v>688</v>
      </c>
      <c r="D144" s="23">
        <v>7800</v>
      </c>
    </row>
    <row r="145" spans="1:4">
      <c r="A145" s="46">
        <v>46077</v>
      </c>
      <c r="B145" s="51" t="s">
        <v>691</v>
      </c>
      <c r="C145" s="34" t="s">
        <v>692</v>
      </c>
      <c r="D145" s="23">
        <v>7780</v>
      </c>
    </row>
    <row r="146" spans="1:4">
      <c r="A146" s="46">
        <v>46055</v>
      </c>
      <c r="B146" s="115" t="s">
        <v>693</v>
      </c>
      <c r="C146" s="114" t="s">
        <v>694</v>
      </c>
      <c r="D146" s="119">
        <v>22800</v>
      </c>
    </row>
    <row r="147" spans="1:4">
      <c r="A147" s="46">
        <v>46060</v>
      </c>
      <c r="B147" s="115"/>
      <c r="C147" s="114"/>
      <c r="D147" s="119"/>
    </row>
    <row r="148" spans="1:4">
      <c r="A148" s="46">
        <v>46060</v>
      </c>
      <c r="B148" s="115"/>
      <c r="C148" s="114"/>
      <c r="D148" s="119"/>
    </row>
    <row r="149" spans="1:4">
      <c r="A149" s="46">
        <v>46064</v>
      </c>
      <c r="B149" s="51" t="s">
        <v>711</v>
      </c>
      <c r="C149" s="34" t="s">
        <v>712</v>
      </c>
      <c r="D149" s="23">
        <v>15775</v>
      </c>
    </row>
    <row r="150" spans="1:4">
      <c r="A150" s="46">
        <v>46066</v>
      </c>
      <c r="B150" s="51" t="s">
        <v>721</v>
      </c>
      <c r="C150" s="34" t="s">
        <v>722</v>
      </c>
      <c r="D150" s="23">
        <v>3900</v>
      </c>
    </row>
    <row r="151" spans="1:4">
      <c r="A151" s="46">
        <v>46074</v>
      </c>
      <c r="B151" s="115" t="s">
        <v>723</v>
      </c>
      <c r="C151" s="114" t="s">
        <v>724</v>
      </c>
      <c r="D151" s="119">
        <v>37990</v>
      </c>
    </row>
    <row r="152" spans="1:4">
      <c r="A152" s="46">
        <v>46078</v>
      </c>
      <c r="B152" s="115"/>
      <c r="C152" s="114"/>
      <c r="D152" s="119"/>
    </row>
    <row r="153" spans="1:4">
      <c r="A153" s="46">
        <v>46057</v>
      </c>
      <c r="B153" s="115" t="s">
        <v>740</v>
      </c>
      <c r="C153" s="114" t="s">
        <v>741</v>
      </c>
      <c r="D153" s="119">
        <v>124010</v>
      </c>
    </row>
    <row r="154" spans="1:4">
      <c r="A154" s="46">
        <v>46070</v>
      </c>
      <c r="B154" s="115"/>
      <c r="C154" s="114"/>
      <c r="D154" s="119"/>
    </row>
    <row r="155" spans="1:4">
      <c r="A155" s="46">
        <v>46079</v>
      </c>
      <c r="B155" s="115"/>
      <c r="C155" s="114"/>
      <c r="D155" s="119"/>
    </row>
    <row r="156" spans="1:4">
      <c r="A156" s="46">
        <v>46067</v>
      </c>
      <c r="B156" s="115" t="s">
        <v>742</v>
      </c>
      <c r="C156" s="114" t="s">
        <v>743</v>
      </c>
      <c r="D156" s="119">
        <v>10700</v>
      </c>
    </row>
    <row r="157" spans="1:4">
      <c r="A157" s="46">
        <v>46072</v>
      </c>
      <c r="B157" s="115"/>
      <c r="C157" s="114"/>
      <c r="D157" s="119"/>
    </row>
    <row r="158" spans="1:4">
      <c r="A158" s="46">
        <v>46067</v>
      </c>
      <c r="B158" s="51" t="s">
        <v>746</v>
      </c>
      <c r="C158" s="34" t="s">
        <v>939</v>
      </c>
      <c r="D158" s="23">
        <v>4548.25</v>
      </c>
    </row>
    <row r="159" spans="1:4">
      <c r="A159" s="46">
        <v>46069</v>
      </c>
      <c r="B159" s="51" t="s">
        <v>749</v>
      </c>
      <c r="C159" s="34" t="s">
        <v>750</v>
      </c>
      <c r="D159" s="23">
        <v>2000</v>
      </c>
    </row>
    <row r="160" spans="1:4">
      <c r="A160" s="46">
        <v>46078</v>
      </c>
      <c r="B160" s="51" t="s">
        <v>752</v>
      </c>
      <c r="C160" s="34"/>
      <c r="D160" s="23">
        <v>2359</v>
      </c>
    </row>
    <row r="161" spans="1:4">
      <c r="A161" s="46">
        <v>46057</v>
      </c>
      <c r="B161" s="115" t="s">
        <v>756</v>
      </c>
      <c r="C161" s="114" t="s">
        <v>757</v>
      </c>
      <c r="D161" s="119">
        <v>29700</v>
      </c>
    </row>
    <row r="162" spans="1:4">
      <c r="A162" s="46">
        <v>46066</v>
      </c>
      <c r="B162" s="115"/>
      <c r="C162" s="114"/>
      <c r="D162" s="119"/>
    </row>
    <row r="163" spans="1:4">
      <c r="A163" s="46">
        <v>46059</v>
      </c>
      <c r="B163" s="51" t="s">
        <v>760</v>
      </c>
      <c r="C163" s="34" t="s">
        <v>761</v>
      </c>
      <c r="D163" s="23">
        <v>51187.5</v>
      </c>
    </row>
    <row r="164" spans="1:4">
      <c r="A164" s="46">
        <v>46057</v>
      </c>
      <c r="B164" s="115" t="s">
        <v>764</v>
      </c>
      <c r="C164" s="114" t="s">
        <v>765</v>
      </c>
      <c r="D164" s="119">
        <v>90080</v>
      </c>
    </row>
    <row r="165" spans="1:4">
      <c r="A165" s="46">
        <v>46060</v>
      </c>
      <c r="B165" s="115"/>
      <c r="C165" s="114"/>
      <c r="D165" s="119"/>
    </row>
    <row r="166" spans="1:4">
      <c r="A166" s="46">
        <v>46056</v>
      </c>
      <c r="B166" s="115" t="s">
        <v>776</v>
      </c>
      <c r="C166" s="114" t="s">
        <v>777</v>
      </c>
      <c r="D166" s="119">
        <v>83600</v>
      </c>
    </row>
    <row r="167" spans="1:4">
      <c r="A167" s="46">
        <v>46063</v>
      </c>
      <c r="B167" s="115"/>
      <c r="C167" s="114"/>
      <c r="D167" s="119"/>
    </row>
    <row r="168" spans="1:4">
      <c r="A168" s="46">
        <v>46076</v>
      </c>
      <c r="B168" s="115"/>
      <c r="C168" s="114"/>
      <c r="D168" s="119"/>
    </row>
    <row r="169" spans="1:4">
      <c r="A169" s="46">
        <v>46066</v>
      </c>
      <c r="B169" s="51" t="s">
        <v>790</v>
      </c>
      <c r="C169" s="34"/>
      <c r="D169" s="23">
        <v>880</v>
      </c>
    </row>
    <row r="170" spans="1:4">
      <c r="A170" s="46">
        <v>46071</v>
      </c>
      <c r="B170" s="51" t="s">
        <v>795</v>
      </c>
      <c r="C170" s="34"/>
      <c r="D170" s="23">
        <v>8820</v>
      </c>
    </row>
    <row r="171" spans="1:4">
      <c r="A171" s="46">
        <v>46055</v>
      </c>
      <c r="B171" s="115" t="s">
        <v>798</v>
      </c>
      <c r="C171" s="114" t="s">
        <v>799</v>
      </c>
      <c r="D171" s="119">
        <v>66000</v>
      </c>
    </row>
    <row r="172" spans="1:4">
      <c r="A172" s="46">
        <v>46059</v>
      </c>
      <c r="B172" s="115"/>
      <c r="C172" s="114"/>
      <c r="D172" s="119"/>
    </row>
    <row r="173" spans="1:4">
      <c r="A173" s="46">
        <v>46062</v>
      </c>
      <c r="B173" s="115" t="s">
        <v>813</v>
      </c>
      <c r="C173" s="114" t="s">
        <v>814</v>
      </c>
      <c r="D173" s="119">
        <v>248000</v>
      </c>
    </row>
    <row r="174" spans="1:4">
      <c r="A174" s="46">
        <v>46071</v>
      </c>
      <c r="B174" s="115"/>
      <c r="C174" s="114"/>
      <c r="D174" s="119"/>
    </row>
    <row r="175" spans="1:4">
      <c r="A175" s="46">
        <v>46070</v>
      </c>
      <c r="B175" s="51" t="s">
        <v>823</v>
      </c>
      <c r="C175" s="34" t="s">
        <v>824</v>
      </c>
      <c r="D175" s="23">
        <v>2200</v>
      </c>
    </row>
    <row r="176" spans="1:4">
      <c r="A176" s="46">
        <v>46060</v>
      </c>
      <c r="B176" s="115" t="s">
        <v>838</v>
      </c>
      <c r="C176" s="114" t="s">
        <v>839</v>
      </c>
      <c r="D176" s="119">
        <v>40870</v>
      </c>
    </row>
    <row r="177" spans="1:4">
      <c r="A177" s="46">
        <v>46069</v>
      </c>
      <c r="B177" s="115"/>
      <c r="C177" s="114"/>
      <c r="D177" s="119"/>
    </row>
    <row r="178" spans="1:4">
      <c r="A178" s="46">
        <v>46062</v>
      </c>
      <c r="B178" s="51" t="s">
        <v>845</v>
      </c>
      <c r="C178" s="34" t="s">
        <v>846</v>
      </c>
      <c r="D178" s="23">
        <v>18030</v>
      </c>
    </row>
    <row r="179" spans="1:4">
      <c r="A179" s="46">
        <v>46055</v>
      </c>
      <c r="B179" s="51" t="s">
        <v>849</v>
      </c>
      <c r="C179" s="34" t="s">
        <v>850</v>
      </c>
      <c r="D179" s="23">
        <v>7200</v>
      </c>
    </row>
    <row r="180" spans="1:4">
      <c r="A180" s="46">
        <v>46069</v>
      </c>
      <c r="B180" s="51" t="s">
        <v>851</v>
      </c>
      <c r="C180" s="34"/>
      <c r="D180" s="23">
        <v>2490</v>
      </c>
    </row>
    <row r="181" spans="1:4">
      <c r="A181" s="46">
        <v>46077</v>
      </c>
      <c r="B181" s="51" t="s">
        <v>864</v>
      </c>
      <c r="C181" s="34" t="s">
        <v>865</v>
      </c>
      <c r="D181" s="23">
        <v>6463.6</v>
      </c>
    </row>
    <row r="182" spans="1:4">
      <c r="A182" s="46">
        <v>46056</v>
      </c>
      <c r="B182" s="51" t="s">
        <v>884</v>
      </c>
      <c r="C182" s="34" t="s">
        <v>885</v>
      </c>
      <c r="D182" s="23">
        <v>6000</v>
      </c>
    </row>
    <row r="183" spans="1:4">
      <c r="A183" s="46">
        <v>46062</v>
      </c>
      <c r="B183" s="115" t="s">
        <v>892</v>
      </c>
      <c r="C183" s="114" t="s">
        <v>893</v>
      </c>
      <c r="D183" s="119">
        <v>3000</v>
      </c>
    </row>
    <row r="184" spans="1:4">
      <c r="A184" s="46">
        <v>46076</v>
      </c>
      <c r="B184" s="115"/>
      <c r="C184" s="114"/>
      <c r="D184" s="119"/>
    </row>
    <row r="185" spans="1:4">
      <c r="A185" s="46">
        <v>46055</v>
      </c>
      <c r="B185" s="115" t="s">
        <v>894</v>
      </c>
      <c r="C185" s="114" t="s">
        <v>895</v>
      </c>
      <c r="D185" s="119">
        <v>12130</v>
      </c>
    </row>
    <row r="186" spans="1:4">
      <c r="A186" s="46">
        <v>46071</v>
      </c>
      <c r="B186" s="115"/>
      <c r="C186" s="114"/>
      <c r="D186" s="119"/>
    </row>
    <row r="187" spans="1:4">
      <c r="A187" s="46">
        <v>46062</v>
      </c>
      <c r="B187" s="51" t="s">
        <v>898</v>
      </c>
      <c r="C187" s="34" t="s">
        <v>899</v>
      </c>
      <c r="D187" s="23">
        <v>5000</v>
      </c>
    </row>
    <row r="188" spans="1:4">
      <c r="A188" s="46">
        <v>46067</v>
      </c>
      <c r="B188" s="51" t="s">
        <v>907</v>
      </c>
      <c r="C188" s="34"/>
      <c r="D188" s="23">
        <v>2500</v>
      </c>
    </row>
    <row r="189" spans="1:4">
      <c r="A189" s="47"/>
      <c r="B189" s="48" t="s">
        <v>918</v>
      </c>
      <c r="C189" s="34"/>
      <c r="D189" s="54">
        <f>SUM(D4:D188)</f>
        <v>5796014.25</v>
      </c>
    </row>
    <row r="190" spans="1:4">
      <c r="D190" s="60"/>
    </row>
    <row r="191" spans="1:4">
      <c r="D191" s="59"/>
    </row>
  </sheetData>
  <sortState xmlns:xlrd2="http://schemas.microsoft.com/office/spreadsheetml/2017/richdata2" ref="A4:C188">
    <sortCondition ref="B4:B188"/>
  </sortState>
  <mergeCells count="113">
    <mergeCell ref="B183:B184"/>
    <mergeCell ref="C183:C184"/>
    <mergeCell ref="D183:D184"/>
    <mergeCell ref="B185:B186"/>
    <mergeCell ref="C185:C186"/>
    <mergeCell ref="D185:D186"/>
    <mergeCell ref="B173:B174"/>
    <mergeCell ref="D173:D174"/>
    <mergeCell ref="C173:C174"/>
    <mergeCell ref="B176:B177"/>
    <mergeCell ref="C176:C177"/>
    <mergeCell ref="D176:D177"/>
    <mergeCell ref="B166:B168"/>
    <mergeCell ref="C166:C168"/>
    <mergeCell ref="D166:D168"/>
    <mergeCell ref="B171:B172"/>
    <mergeCell ref="C171:C172"/>
    <mergeCell ref="D171:D172"/>
    <mergeCell ref="B161:B162"/>
    <mergeCell ref="C161:C162"/>
    <mergeCell ref="D161:D162"/>
    <mergeCell ref="B164:B165"/>
    <mergeCell ref="C164:C165"/>
    <mergeCell ref="D164:D165"/>
    <mergeCell ref="B153:B155"/>
    <mergeCell ref="C153:C155"/>
    <mergeCell ref="D153:D155"/>
    <mergeCell ref="B156:B157"/>
    <mergeCell ref="C156:C157"/>
    <mergeCell ref="D156:D157"/>
    <mergeCell ref="B146:B148"/>
    <mergeCell ref="C146:C148"/>
    <mergeCell ref="D146:D148"/>
    <mergeCell ref="B151:B152"/>
    <mergeCell ref="C151:C152"/>
    <mergeCell ref="D151:D152"/>
    <mergeCell ref="B135:B137"/>
    <mergeCell ref="C135:C137"/>
    <mergeCell ref="D135:D137"/>
    <mergeCell ref="B140:B142"/>
    <mergeCell ref="C140:C142"/>
    <mergeCell ref="D140:D142"/>
    <mergeCell ref="B117:B118"/>
    <mergeCell ref="C117:C118"/>
    <mergeCell ref="D117:D118"/>
    <mergeCell ref="B131:B133"/>
    <mergeCell ref="C131:C133"/>
    <mergeCell ref="D131:D133"/>
    <mergeCell ref="B103:B106"/>
    <mergeCell ref="C103:C106"/>
    <mergeCell ref="D103:D106"/>
    <mergeCell ref="B112:B114"/>
    <mergeCell ref="C112:C114"/>
    <mergeCell ref="D112:D114"/>
    <mergeCell ref="B99:B100"/>
    <mergeCell ref="C99:C100"/>
    <mergeCell ref="D99:D100"/>
    <mergeCell ref="B101:B102"/>
    <mergeCell ref="C101:C102"/>
    <mergeCell ref="D101:D102"/>
    <mergeCell ref="B89:B90"/>
    <mergeCell ref="C89:C90"/>
    <mergeCell ref="D89:D90"/>
    <mergeCell ref="B91:B92"/>
    <mergeCell ref="C91:C92"/>
    <mergeCell ref="D91:D92"/>
    <mergeCell ref="B83:B84"/>
    <mergeCell ref="D83:D84"/>
    <mergeCell ref="C83:C84"/>
    <mergeCell ref="B85:B86"/>
    <mergeCell ref="C85:C86"/>
    <mergeCell ref="D85:D86"/>
    <mergeCell ref="B76:B77"/>
    <mergeCell ref="C76:C77"/>
    <mergeCell ref="D76:D77"/>
    <mergeCell ref="B81:B82"/>
    <mergeCell ref="C81:C82"/>
    <mergeCell ref="D81:D82"/>
    <mergeCell ref="B68:B69"/>
    <mergeCell ref="C68:C69"/>
    <mergeCell ref="D68:D69"/>
    <mergeCell ref="B72:B75"/>
    <mergeCell ref="C72:C75"/>
    <mergeCell ref="D72:D75"/>
    <mergeCell ref="B55:B58"/>
    <mergeCell ref="C55:C58"/>
    <mergeCell ref="D55:D58"/>
    <mergeCell ref="B59:B62"/>
    <mergeCell ref="C59:C62"/>
    <mergeCell ref="D59:D62"/>
    <mergeCell ref="B45:B46"/>
    <mergeCell ref="C45:C46"/>
    <mergeCell ref="D45:D46"/>
    <mergeCell ref="B48:B49"/>
    <mergeCell ref="C48:C49"/>
    <mergeCell ref="D48:D49"/>
    <mergeCell ref="A1:B1"/>
    <mergeCell ref="A2:B2"/>
    <mergeCell ref="B6:B7"/>
    <mergeCell ref="C6:C7"/>
    <mergeCell ref="D6:D7"/>
    <mergeCell ref="B27:B32"/>
    <mergeCell ref="C27:C32"/>
    <mergeCell ref="D27:D32"/>
    <mergeCell ref="B36:B40"/>
    <mergeCell ref="D36:D40"/>
    <mergeCell ref="C36:C40"/>
    <mergeCell ref="B8:B10"/>
    <mergeCell ref="C8:C10"/>
    <mergeCell ref="D8:D10"/>
    <mergeCell ref="B15:B26"/>
    <mergeCell ref="C15:C26"/>
    <mergeCell ref="D15:D2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688-1A8D-2E4F-93ED-F63B9D04BC97}">
  <dimension ref="A1:D159"/>
  <sheetViews>
    <sheetView workbookViewId="0">
      <selection activeCell="D158" sqref="D158:D159"/>
    </sheetView>
  </sheetViews>
  <sheetFormatPr defaultColWidth="8.85546875" defaultRowHeight="15"/>
  <cols>
    <col min="1" max="1" width="12.7109375" style="1" customWidth="1"/>
    <col min="2" max="2" width="39.42578125" style="1" customWidth="1"/>
    <col min="3" max="3" width="17.7109375" style="1" customWidth="1"/>
    <col min="4" max="4" width="16.85546875" style="27" customWidth="1"/>
    <col min="5" max="16384" width="8.85546875" style="1"/>
  </cols>
  <sheetData>
    <row r="1" spans="1:4" ht="15.75">
      <c r="A1" s="120" t="s">
        <v>912</v>
      </c>
      <c r="B1" s="120"/>
      <c r="C1" s="45"/>
      <c r="D1" s="24"/>
    </row>
    <row r="2" spans="1:4">
      <c r="A2" s="121" t="s">
        <v>940</v>
      </c>
      <c r="B2" s="121"/>
      <c r="C2" s="45"/>
      <c r="D2" s="24"/>
    </row>
    <row r="3" spans="1:4">
      <c r="A3" s="4" t="s">
        <v>914</v>
      </c>
      <c r="B3" s="5" t="s">
        <v>1</v>
      </c>
      <c r="C3" s="4" t="s">
        <v>2</v>
      </c>
      <c r="D3" s="24" t="s">
        <v>915</v>
      </c>
    </row>
    <row r="4" spans="1:4">
      <c r="A4" s="46">
        <v>46086</v>
      </c>
      <c r="B4" s="122" t="s">
        <v>29</v>
      </c>
      <c r="C4" s="114"/>
      <c r="D4" s="119">
        <v>3170</v>
      </c>
    </row>
    <row r="5" spans="1:4">
      <c r="A5" s="46">
        <v>46100</v>
      </c>
      <c r="B5" s="122"/>
      <c r="C5" s="114"/>
      <c r="D5" s="119"/>
    </row>
    <row r="6" spans="1:4">
      <c r="A6" s="46">
        <v>46084</v>
      </c>
      <c r="B6" s="32" t="s">
        <v>37</v>
      </c>
      <c r="C6" s="34" t="s">
        <v>38</v>
      </c>
      <c r="D6" s="23">
        <v>7500</v>
      </c>
    </row>
    <row r="7" spans="1:4">
      <c r="A7" s="46">
        <v>46105</v>
      </c>
      <c r="B7" s="32" t="s">
        <v>42</v>
      </c>
      <c r="C7" s="34" t="s">
        <v>43</v>
      </c>
      <c r="D7" s="23">
        <v>196610.2</v>
      </c>
    </row>
    <row r="8" spans="1:4">
      <c r="A8" s="46">
        <v>46112</v>
      </c>
      <c r="B8" s="32" t="s">
        <v>45</v>
      </c>
      <c r="C8" s="34"/>
      <c r="D8" s="23">
        <v>14000</v>
      </c>
    </row>
    <row r="9" spans="1:4">
      <c r="A9" s="46">
        <v>46101</v>
      </c>
      <c r="B9" s="32" t="s">
        <v>48</v>
      </c>
      <c r="C9" s="34" t="s">
        <v>49</v>
      </c>
      <c r="D9" s="23">
        <v>4760</v>
      </c>
    </row>
    <row r="10" spans="1:4">
      <c r="A10" s="46">
        <v>46108</v>
      </c>
      <c r="B10" s="122" t="s">
        <v>50</v>
      </c>
      <c r="C10" s="114" t="s">
        <v>51</v>
      </c>
      <c r="D10" s="119">
        <v>2927850</v>
      </c>
    </row>
    <row r="11" spans="1:4">
      <c r="A11" s="46">
        <v>46109</v>
      </c>
      <c r="B11" s="122"/>
      <c r="C11" s="114"/>
      <c r="D11" s="119"/>
    </row>
    <row r="12" spans="1:4">
      <c r="A12" s="46">
        <v>46112</v>
      </c>
      <c r="B12" s="122"/>
      <c r="C12" s="114"/>
      <c r="D12" s="119"/>
    </row>
    <row r="13" spans="1:4">
      <c r="A13" s="46">
        <v>46102</v>
      </c>
      <c r="B13" s="32" t="s">
        <v>52</v>
      </c>
      <c r="C13" s="34"/>
      <c r="D13" s="23">
        <v>8375</v>
      </c>
    </row>
    <row r="14" spans="1:4">
      <c r="A14" s="46">
        <v>46087</v>
      </c>
      <c r="B14" s="32" t="s">
        <v>59</v>
      </c>
      <c r="C14" s="34" t="s">
        <v>60</v>
      </c>
      <c r="D14" s="23">
        <v>6800</v>
      </c>
    </row>
    <row r="15" spans="1:4">
      <c r="A15" s="46">
        <v>46092</v>
      </c>
      <c r="B15" s="122" t="s">
        <v>61</v>
      </c>
      <c r="C15" s="114"/>
      <c r="D15" s="119">
        <v>21700</v>
      </c>
    </row>
    <row r="16" spans="1:4">
      <c r="A16" s="46">
        <v>46100</v>
      </c>
      <c r="B16" s="122"/>
      <c r="C16" s="114"/>
      <c r="D16" s="119"/>
    </row>
    <row r="17" spans="1:4">
      <c r="A17" s="46">
        <v>46098</v>
      </c>
      <c r="B17" s="32" t="s">
        <v>62</v>
      </c>
      <c r="C17" s="34"/>
      <c r="D17" s="23">
        <v>3317.52</v>
      </c>
    </row>
    <row r="18" spans="1:4">
      <c r="A18" s="46">
        <v>46109</v>
      </c>
      <c r="B18" s="32" t="s">
        <v>78</v>
      </c>
      <c r="C18" s="34" t="s">
        <v>79</v>
      </c>
      <c r="D18" s="23">
        <v>1560</v>
      </c>
    </row>
    <row r="19" spans="1:4" ht="22.5">
      <c r="A19" s="46">
        <v>46090</v>
      </c>
      <c r="B19" s="32" t="s">
        <v>84</v>
      </c>
      <c r="C19" s="34" t="s">
        <v>85</v>
      </c>
      <c r="D19" s="23">
        <v>7000</v>
      </c>
    </row>
    <row r="20" spans="1:4">
      <c r="A20" s="46">
        <v>46108</v>
      </c>
      <c r="B20" s="32" t="s">
        <v>105</v>
      </c>
      <c r="C20" s="34"/>
      <c r="D20" s="23">
        <v>884851.19999999995</v>
      </c>
    </row>
    <row r="21" spans="1:4">
      <c r="A21" s="46">
        <v>46083</v>
      </c>
      <c r="B21" s="122" t="s">
        <v>108</v>
      </c>
      <c r="C21" s="114" t="s">
        <v>109</v>
      </c>
      <c r="D21" s="119">
        <v>326190</v>
      </c>
    </row>
    <row r="22" spans="1:4">
      <c r="A22" s="46">
        <v>46086</v>
      </c>
      <c r="B22" s="122"/>
      <c r="C22" s="114"/>
      <c r="D22" s="119"/>
    </row>
    <row r="23" spans="1:4">
      <c r="A23" s="46">
        <v>46091</v>
      </c>
      <c r="B23" s="122"/>
      <c r="C23" s="114"/>
      <c r="D23" s="119"/>
    </row>
    <row r="24" spans="1:4">
      <c r="A24" s="46">
        <v>46094</v>
      </c>
      <c r="B24" s="122"/>
      <c r="C24" s="114"/>
      <c r="D24" s="119"/>
    </row>
    <row r="25" spans="1:4">
      <c r="A25" s="46">
        <v>46095</v>
      </c>
      <c r="B25" s="122"/>
      <c r="C25" s="114"/>
      <c r="D25" s="119"/>
    </row>
    <row r="26" spans="1:4">
      <c r="A26" s="46">
        <v>46097</v>
      </c>
      <c r="B26" s="122"/>
      <c r="C26" s="114"/>
      <c r="D26" s="119"/>
    </row>
    <row r="27" spans="1:4">
      <c r="A27" s="46">
        <v>46098</v>
      </c>
      <c r="B27" s="122"/>
      <c r="C27" s="114"/>
      <c r="D27" s="119"/>
    </row>
    <row r="28" spans="1:4">
      <c r="A28" s="46">
        <v>46098</v>
      </c>
      <c r="B28" s="122"/>
      <c r="C28" s="114"/>
      <c r="D28" s="119"/>
    </row>
    <row r="29" spans="1:4">
      <c r="A29" s="46">
        <v>46105</v>
      </c>
      <c r="B29" s="122"/>
      <c r="C29" s="114"/>
      <c r="D29" s="119"/>
    </row>
    <row r="30" spans="1:4">
      <c r="A30" s="46">
        <v>46111</v>
      </c>
      <c r="B30" s="122"/>
      <c r="C30" s="114"/>
      <c r="D30" s="119"/>
    </row>
    <row r="31" spans="1:4">
      <c r="A31" s="46">
        <v>46112</v>
      </c>
      <c r="B31" s="122"/>
      <c r="C31" s="114"/>
      <c r="D31" s="119"/>
    </row>
    <row r="32" spans="1:4">
      <c r="A32" s="46">
        <v>46083</v>
      </c>
      <c r="B32" s="122" t="s">
        <v>110</v>
      </c>
      <c r="C32" s="114" t="s">
        <v>111</v>
      </c>
      <c r="D32" s="119">
        <v>389230</v>
      </c>
    </row>
    <row r="33" spans="1:4">
      <c r="A33" s="46">
        <v>46086</v>
      </c>
      <c r="B33" s="122"/>
      <c r="C33" s="114"/>
      <c r="D33" s="119"/>
    </row>
    <row r="34" spans="1:4">
      <c r="A34" s="46">
        <v>46086</v>
      </c>
      <c r="B34" s="122"/>
      <c r="C34" s="114"/>
      <c r="D34" s="119"/>
    </row>
    <row r="35" spans="1:4">
      <c r="A35" s="46">
        <v>46108</v>
      </c>
      <c r="B35" s="122"/>
      <c r="C35" s="114"/>
      <c r="D35" s="119"/>
    </row>
    <row r="36" spans="1:4">
      <c r="A36" s="46">
        <v>46112</v>
      </c>
      <c r="B36" s="122"/>
      <c r="C36" s="114"/>
      <c r="D36" s="119"/>
    </row>
    <row r="37" spans="1:4">
      <c r="A37" s="46">
        <v>46112</v>
      </c>
      <c r="B37" s="122"/>
      <c r="C37" s="114"/>
      <c r="D37" s="119"/>
    </row>
    <row r="38" spans="1:4">
      <c r="A38" s="46">
        <v>46090</v>
      </c>
      <c r="B38" s="122" t="s">
        <v>130</v>
      </c>
      <c r="C38" s="114" t="s">
        <v>131</v>
      </c>
      <c r="D38" s="119">
        <v>7351</v>
      </c>
    </row>
    <row r="39" spans="1:4">
      <c r="A39" s="46">
        <v>46091</v>
      </c>
      <c r="B39" s="122"/>
      <c r="C39" s="114"/>
      <c r="D39" s="119"/>
    </row>
    <row r="40" spans="1:4">
      <c r="A40" s="46">
        <v>46112</v>
      </c>
      <c r="B40" s="122"/>
      <c r="C40" s="114"/>
      <c r="D40" s="119"/>
    </row>
    <row r="41" spans="1:4">
      <c r="A41" s="46">
        <v>46098</v>
      </c>
      <c r="B41" s="122" t="s">
        <v>136</v>
      </c>
      <c r="C41" s="114" t="s">
        <v>137</v>
      </c>
      <c r="D41" s="119">
        <v>47027.5</v>
      </c>
    </row>
    <row r="42" spans="1:4">
      <c r="A42" s="46">
        <v>46111</v>
      </c>
      <c r="B42" s="122"/>
      <c r="C42" s="114"/>
      <c r="D42" s="119"/>
    </row>
    <row r="43" spans="1:4">
      <c r="A43" s="46">
        <v>46106</v>
      </c>
      <c r="B43" s="32" t="s">
        <v>144</v>
      </c>
      <c r="C43" s="34"/>
      <c r="D43" s="23">
        <v>13000</v>
      </c>
    </row>
    <row r="44" spans="1:4">
      <c r="A44" s="46">
        <v>46102</v>
      </c>
      <c r="B44" s="32" t="s">
        <v>147</v>
      </c>
      <c r="C44" s="34" t="s">
        <v>148</v>
      </c>
      <c r="D44" s="23">
        <v>3200</v>
      </c>
    </row>
    <row r="45" spans="1:4">
      <c r="A45" s="46">
        <v>46083</v>
      </c>
      <c r="B45" s="32" t="s">
        <v>155</v>
      </c>
      <c r="C45" s="34"/>
      <c r="D45" s="23">
        <v>4200</v>
      </c>
    </row>
    <row r="46" spans="1:4">
      <c r="A46" s="46">
        <v>46090</v>
      </c>
      <c r="B46" s="122" t="s">
        <v>158</v>
      </c>
      <c r="C46" s="114" t="s">
        <v>159</v>
      </c>
      <c r="D46" s="119">
        <v>1520</v>
      </c>
    </row>
    <row r="47" spans="1:4">
      <c r="A47" s="46">
        <v>46104</v>
      </c>
      <c r="B47" s="122"/>
      <c r="C47" s="114"/>
      <c r="D47" s="119"/>
    </row>
    <row r="48" spans="1:4">
      <c r="A48" s="46">
        <v>46112</v>
      </c>
      <c r="B48" s="122" t="s">
        <v>174</v>
      </c>
      <c r="C48" s="114"/>
      <c r="D48" s="119">
        <v>250800</v>
      </c>
    </row>
    <row r="49" spans="1:4">
      <c r="A49" s="46">
        <v>46109</v>
      </c>
      <c r="B49" s="122"/>
      <c r="C49" s="114"/>
      <c r="D49" s="119"/>
    </row>
    <row r="50" spans="1:4">
      <c r="A50" s="46">
        <v>46109</v>
      </c>
      <c r="B50" s="122"/>
      <c r="C50" s="114"/>
      <c r="D50" s="119"/>
    </row>
    <row r="51" spans="1:4">
      <c r="A51" s="46">
        <v>46110</v>
      </c>
      <c r="B51" s="122"/>
      <c r="C51" s="114"/>
      <c r="D51" s="119"/>
    </row>
    <row r="52" spans="1:4">
      <c r="A52" s="46">
        <v>46111</v>
      </c>
      <c r="B52" s="122"/>
      <c r="C52" s="114"/>
      <c r="D52" s="119"/>
    </row>
    <row r="53" spans="1:4">
      <c r="A53" s="46">
        <v>46111</v>
      </c>
      <c r="B53" s="122"/>
      <c r="C53" s="114"/>
      <c r="D53" s="119"/>
    </row>
    <row r="54" spans="1:4">
      <c r="A54" s="46">
        <v>46083</v>
      </c>
      <c r="B54" s="32" t="s">
        <v>180</v>
      </c>
      <c r="C54" s="34" t="s">
        <v>181</v>
      </c>
      <c r="D54" s="23">
        <v>5840</v>
      </c>
    </row>
    <row r="55" spans="1:4">
      <c r="A55" s="46">
        <v>46090</v>
      </c>
      <c r="B55" s="32" t="s">
        <v>221</v>
      </c>
      <c r="C55" s="34"/>
      <c r="D55" s="23">
        <v>13010</v>
      </c>
    </row>
    <row r="56" spans="1:4">
      <c r="A56" s="46">
        <v>46083</v>
      </c>
      <c r="B56" s="122" t="s">
        <v>232</v>
      </c>
      <c r="C56" s="114" t="s">
        <v>233</v>
      </c>
      <c r="D56" s="119">
        <v>11150</v>
      </c>
    </row>
    <row r="57" spans="1:4">
      <c r="A57" s="46">
        <v>46109</v>
      </c>
      <c r="B57" s="122"/>
      <c r="C57" s="114"/>
      <c r="D57" s="119"/>
    </row>
    <row r="58" spans="1:4">
      <c r="A58" s="46">
        <v>46100</v>
      </c>
      <c r="B58" s="32" t="s">
        <v>238</v>
      </c>
      <c r="C58" s="34" t="s">
        <v>239</v>
      </c>
      <c r="D58" s="23">
        <v>8295</v>
      </c>
    </row>
    <row r="59" spans="1:4">
      <c r="A59" s="46">
        <v>46088</v>
      </c>
      <c r="B59" s="32" t="s">
        <v>266</v>
      </c>
      <c r="C59" s="34" t="s">
        <v>267</v>
      </c>
      <c r="D59" s="23">
        <v>3800</v>
      </c>
    </row>
    <row r="60" spans="1:4">
      <c r="A60" s="46">
        <v>46098</v>
      </c>
      <c r="B60" s="32" t="s">
        <v>268</v>
      </c>
      <c r="C60" s="34"/>
      <c r="D60" s="23">
        <v>1639.86</v>
      </c>
    </row>
    <row r="61" spans="1:4">
      <c r="A61" s="46">
        <v>46093</v>
      </c>
      <c r="B61" s="32" t="s">
        <v>269</v>
      </c>
      <c r="C61" s="34" t="s">
        <v>270</v>
      </c>
      <c r="D61" s="23">
        <v>5600</v>
      </c>
    </row>
    <row r="62" spans="1:4">
      <c r="A62" s="46">
        <v>46091</v>
      </c>
      <c r="B62" s="122" t="s">
        <v>273</v>
      </c>
      <c r="C62" s="114" t="s">
        <v>274</v>
      </c>
      <c r="D62" s="119">
        <v>132900</v>
      </c>
    </row>
    <row r="63" spans="1:4">
      <c r="A63" s="46">
        <v>46105</v>
      </c>
      <c r="B63" s="122"/>
      <c r="C63" s="114"/>
      <c r="D63" s="119"/>
    </row>
    <row r="64" spans="1:4">
      <c r="A64" s="46">
        <v>46108</v>
      </c>
      <c r="B64" s="122"/>
      <c r="C64" s="114"/>
      <c r="D64" s="119"/>
    </row>
    <row r="65" spans="1:4">
      <c r="A65" s="46">
        <v>46112</v>
      </c>
      <c r="B65" s="122"/>
      <c r="C65" s="114"/>
      <c r="D65" s="119"/>
    </row>
    <row r="66" spans="1:4">
      <c r="A66" s="46">
        <v>46097</v>
      </c>
      <c r="B66" s="122" t="s">
        <v>280</v>
      </c>
      <c r="C66" s="114" t="s">
        <v>281</v>
      </c>
      <c r="D66" s="119">
        <v>48250</v>
      </c>
    </row>
    <row r="67" spans="1:4">
      <c r="A67" s="46">
        <v>46102</v>
      </c>
      <c r="B67" s="122"/>
      <c r="C67" s="114"/>
      <c r="D67" s="119"/>
    </row>
    <row r="68" spans="1:4">
      <c r="A68" s="46">
        <v>46108</v>
      </c>
      <c r="B68" s="122"/>
      <c r="C68" s="114"/>
      <c r="D68" s="119"/>
    </row>
    <row r="69" spans="1:4">
      <c r="A69" s="46">
        <v>46109</v>
      </c>
      <c r="B69" s="122"/>
      <c r="C69" s="114"/>
      <c r="D69" s="119"/>
    </row>
    <row r="70" spans="1:4">
      <c r="A70" s="46">
        <v>46100</v>
      </c>
      <c r="B70" s="32" t="s">
        <v>288</v>
      </c>
      <c r="C70" s="34" t="s">
        <v>289</v>
      </c>
      <c r="D70" s="23">
        <v>18000</v>
      </c>
    </row>
    <row r="71" spans="1:4">
      <c r="A71" s="46">
        <v>46090</v>
      </c>
      <c r="B71" s="32" t="s">
        <v>316</v>
      </c>
      <c r="C71" s="34" t="s">
        <v>317</v>
      </c>
      <c r="D71" s="23">
        <v>8130</v>
      </c>
    </row>
    <row r="72" spans="1:4">
      <c r="A72" s="46">
        <v>46087</v>
      </c>
      <c r="B72" s="122" t="s">
        <v>321</v>
      </c>
      <c r="C72" s="114" t="s">
        <v>322</v>
      </c>
      <c r="D72" s="119">
        <v>195960</v>
      </c>
    </row>
    <row r="73" spans="1:4">
      <c r="A73" s="46">
        <v>46106</v>
      </c>
      <c r="B73" s="122"/>
      <c r="C73" s="114"/>
      <c r="D73" s="119"/>
    </row>
    <row r="74" spans="1:4">
      <c r="A74" s="46">
        <v>46091</v>
      </c>
      <c r="B74" s="32" t="s">
        <v>324</v>
      </c>
      <c r="C74" s="34" t="s">
        <v>325</v>
      </c>
      <c r="D74" s="23">
        <v>36000</v>
      </c>
    </row>
    <row r="75" spans="1:4">
      <c r="A75" s="46">
        <v>46111</v>
      </c>
      <c r="B75" s="32" t="s">
        <v>326</v>
      </c>
      <c r="C75" s="34" t="s">
        <v>327</v>
      </c>
      <c r="D75" s="23">
        <v>22075</v>
      </c>
    </row>
    <row r="76" spans="1:4">
      <c r="A76" s="46">
        <v>46111</v>
      </c>
      <c r="B76" s="122" t="s">
        <v>330</v>
      </c>
      <c r="C76" s="114" t="s">
        <v>331</v>
      </c>
      <c r="D76" s="119">
        <v>14275</v>
      </c>
    </row>
    <row r="77" spans="1:4">
      <c r="A77" s="46">
        <v>46112</v>
      </c>
      <c r="B77" s="122"/>
      <c r="C77" s="114"/>
      <c r="D77" s="119"/>
    </row>
    <row r="78" spans="1:4">
      <c r="A78" s="46">
        <v>46094</v>
      </c>
      <c r="B78" s="32" t="s">
        <v>333</v>
      </c>
      <c r="C78" s="34"/>
      <c r="D78" s="23">
        <v>4900</v>
      </c>
    </row>
    <row r="79" spans="1:4">
      <c r="A79" s="46">
        <v>46111</v>
      </c>
      <c r="B79" s="122" t="s">
        <v>351</v>
      </c>
      <c r="C79" s="114" t="s">
        <v>352</v>
      </c>
      <c r="D79" s="119">
        <v>36502</v>
      </c>
    </row>
    <row r="80" spans="1:4">
      <c r="A80" s="46">
        <v>46111</v>
      </c>
      <c r="B80" s="122"/>
      <c r="C80" s="114"/>
      <c r="D80" s="119"/>
    </row>
    <row r="81" spans="1:4">
      <c r="A81" s="46">
        <v>46097</v>
      </c>
      <c r="B81" s="122" t="s">
        <v>357</v>
      </c>
      <c r="C81" s="114" t="s">
        <v>358</v>
      </c>
      <c r="D81" s="119">
        <v>33423.81</v>
      </c>
    </row>
    <row r="82" spans="1:4">
      <c r="A82" s="46">
        <v>46097</v>
      </c>
      <c r="B82" s="122"/>
      <c r="C82" s="114"/>
      <c r="D82" s="119"/>
    </row>
    <row r="83" spans="1:4">
      <c r="A83" s="46">
        <v>46097</v>
      </c>
      <c r="B83" s="122"/>
      <c r="C83" s="114"/>
      <c r="D83" s="119"/>
    </row>
    <row r="84" spans="1:4">
      <c r="A84" s="46">
        <v>46105</v>
      </c>
      <c r="B84" s="32" t="s">
        <v>365</v>
      </c>
      <c r="C84" s="34" t="s">
        <v>366</v>
      </c>
      <c r="D84" s="23">
        <v>27500</v>
      </c>
    </row>
    <row r="85" spans="1:4">
      <c r="A85" s="46">
        <v>46097</v>
      </c>
      <c r="B85" s="32" t="s">
        <v>378</v>
      </c>
      <c r="C85" s="34" t="s">
        <v>379</v>
      </c>
      <c r="D85" s="23">
        <v>85714.29</v>
      </c>
    </row>
    <row r="86" spans="1:4">
      <c r="A86" s="46">
        <v>46112</v>
      </c>
      <c r="B86" s="32" t="s">
        <v>387</v>
      </c>
      <c r="C86" s="34"/>
      <c r="D86" s="23">
        <v>42500</v>
      </c>
    </row>
    <row r="87" spans="1:4" ht="22.5">
      <c r="A87" s="46">
        <v>46082</v>
      </c>
      <c r="B87" s="32" t="s">
        <v>392</v>
      </c>
      <c r="C87" s="34" t="s">
        <v>393</v>
      </c>
      <c r="D87" s="23">
        <v>686850</v>
      </c>
    </row>
    <row r="88" spans="1:4">
      <c r="A88" s="46">
        <v>46098</v>
      </c>
      <c r="B88" s="32" t="s">
        <v>408</v>
      </c>
      <c r="C88" s="34" t="s">
        <v>409</v>
      </c>
      <c r="D88" s="23">
        <v>41250</v>
      </c>
    </row>
    <row r="89" spans="1:4">
      <c r="A89" s="46">
        <v>46112</v>
      </c>
      <c r="B89" s="32" t="s">
        <v>412</v>
      </c>
      <c r="C89" s="34" t="s">
        <v>413</v>
      </c>
      <c r="D89" s="23">
        <v>11700</v>
      </c>
    </row>
    <row r="90" spans="1:4">
      <c r="A90" s="46">
        <v>46092</v>
      </c>
      <c r="B90" s="32" t="s">
        <v>419</v>
      </c>
      <c r="C90" s="34" t="s">
        <v>420</v>
      </c>
      <c r="D90" s="23">
        <v>19000</v>
      </c>
    </row>
    <row r="91" spans="1:4">
      <c r="A91" s="46">
        <v>46108</v>
      </c>
      <c r="B91" s="32" t="s">
        <v>421</v>
      </c>
      <c r="C91" s="34" t="s">
        <v>422</v>
      </c>
      <c r="D91" s="23">
        <v>33300</v>
      </c>
    </row>
    <row r="92" spans="1:4">
      <c r="A92" s="46">
        <v>46091</v>
      </c>
      <c r="B92" s="32" t="s">
        <v>448</v>
      </c>
      <c r="C92" s="34"/>
      <c r="D92" s="23">
        <v>550</v>
      </c>
    </row>
    <row r="93" spans="1:4">
      <c r="A93" s="46">
        <v>46087</v>
      </c>
      <c r="B93" s="32" t="s">
        <v>464</v>
      </c>
      <c r="C93" s="34" t="s">
        <v>465</v>
      </c>
      <c r="D93" s="23">
        <v>16500</v>
      </c>
    </row>
    <row r="94" spans="1:4">
      <c r="A94" s="46">
        <v>46099</v>
      </c>
      <c r="B94" s="122" t="s">
        <v>470</v>
      </c>
      <c r="C94" s="114" t="s">
        <v>471</v>
      </c>
      <c r="D94" s="119">
        <v>187900</v>
      </c>
    </row>
    <row r="95" spans="1:4">
      <c r="A95" s="46">
        <v>46105</v>
      </c>
      <c r="B95" s="122"/>
      <c r="C95" s="114"/>
      <c r="D95" s="119"/>
    </row>
    <row r="96" spans="1:4">
      <c r="A96" s="46">
        <v>46112</v>
      </c>
      <c r="B96" s="122"/>
      <c r="C96" s="114"/>
      <c r="D96" s="119"/>
    </row>
    <row r="97" spans="1:4">
      <c r="A97" s="46">
        <v>46084</v>
      </c>
      <c r="B97" s="32" t="s">
        <v>472</v>
      </c>
      <c r="C97" s="34" t="s">
        <v>473</v>
      </c>
      <c r="D97" s="23">
        <v>90600</v>
      </c>
    </row>
    <row r="98" spans="1:4">
      <c r="A98" s="46">
        <v>46083</v>
      </c>
      <c r="B98" s="32" t="s">
        <v>487</v>
      </c>
      <c r="C98" s="34" t="s">
        <v>488</v>
      </c>
      <c r="D98" s="23">
        <v>74000</v>
      </c>
    </row>
    <row r="99" spans="1:4">
      <c r="A99" s="46">
        <v>46106</v>
      </c>
      <c r="B99" s="32" t="s">
        <v>490</v>
      </c>
      <c r="C99" s="34" t="s">
        <v>491</v>
      </c>
      <c r="D99" s="23">
        <v>1836</v>
      </c>
    </row>
    <row r="100" spans="1:4">
      <c r="A100" s="46">
        <v>46111</v>
      </c>
      <c r="B100" s="122" t="s">
        <v>503</v>
      </c>
      <c r="C100" s="114" t="s">
        <v>504</v>
      </c>
      <c r="D100" s="119">
        <v>95250</v>
      </c>
    </row>
    <row r="101" spans="1:4">
      <c r="A101" s="46">
        <v>46112</v>
      </c>
      <c r="B101" s="122"/>
      <c r="C101" s="114"/>
      <c r="D101" s="119"/>
    </row>
    <row r="102" spans="1:4">
      <c r="A102" s="46">
        <v>46112</v>
      </c>
      <c r="B102" s="122"/>
      <c r="C102" s="114"/>
      <c r="D102" s="119"/>
    </row>
    <row r="103" spans="1:4" ht="22.5">
      <c r="A103" s="46">
        <v>46092</v>
      </c>
      <c r="B103" s="32" t="s">
        <v>935</v>
      </c>
      <c r="C103" s="34" t="s">
        <v>936</v>
      </c>
      <c r="D103" s="23">
        <v>9000</v>
      </c>
    </row>
    <row r="104" spans="1:4">
      <c r="A104" s="46">
        <v>46112</v>
      </c>
      <c r="B104" s="32" t="s">
        <v>512</v>
      </c>
      <c r="C104" s="34"/>
      <c r="D104" s="23">
        <v>3520</v>
      </c>
    </row>
    <row r="105" spans="1:4">
      <c r="A105" s="46">
        <v>46088</v>
      </c>
      <c r="B105" s="32" t="s">
        <v>524</v>
      </c>
      <c r="C105" s="34" t="s">
        <v>525</v>
      </c>
      <c r="D105" s="23">
        <v>2242.5</v>
      </c>
    </row>
    <row r="106" spans="1:4">
      <c r="A106" s="46">
        <v>46088</v>
      </c>
      <c r="B106" s="32" t="s">
        <v>526</v>
      </c>
      <c r="C106" s="34" t="s">
        <v>527</v>
      </c>
      <c r="D106" s="23">
        <v>12140</v>
      </c>
    </row>
    <row r="107" spans="1:4">
      <c r="A107" s="46">
        <v>46102</v>
      </c>
      <c r="B107" s="32" t="s">
        <v>534</v>
      </c>
      <c r="C107" s="34" t="s">
        <v>535</v>
      </c>
      <c r="D107" s="23">
        <v>45000</v>
      </c>
    </row>
    <row r="108" spans="1:4">
      <c r="A108" s="46">
        <v>46082</v>
      </c>
      <c r="B108" s="32" t="s">
        <v>537</v>
      </c>
      <c r="C108" s="34"/>
      <c r="D108" s="53"/>
    </row>
    <row r="109" spans="1:4">
      <c r="A109" s="46">
        <v>46101</v>
      </c>
      <c r="B109" s="32" t="s">
        <v>941</v>
      </c>
      <c r="C109" s="34" t="s">
        <v>942</v>
      </c>
      <c r="D109" s="23">
        <v>680</v>
      </c>
    </row>
    <row r="110" spans="1:4">
      <c r="A110" s="46">
        <v>46083</v>
      </c>
      <c r="B110" s="122" t="s">
        <v>552</v>
      </c>
      <c r="C110" s="114" t="s">
        <v>553</v>
      </c>
      <c r="D110" s="119">
        <v>64970</v>
      </c>
    </row>
    <row r="111" spans="1:4">
      <c r="A111" s="46">
        <v>46088</v>
      </c>
      <c r="B111" s="122"/>
      <c r="C111" s="114"/>
      <c r="D111" s="119"/>
    </row>
    <row r="112" spans="1:4">
      <c r="A112" s="46">
        <v>46099</v>
      </c>
      <c r="B112" s="122"/>
      <c r="C112" s="114"/>
      <c r="D112" s="119"/>
    </row>
    <row r="113" spans="1:4">
      <c r="A113" s="46">
        <v>46109</v>
      </c>
      <c r="B113" s="122" t="s">
        <v>558</v>
      </c>
      <c r="C113" s="114" t="s">
        <v>559</v>
      </c>
      <c r="D113" s="119">
        <v>1560</v>
      </c>
    </row>
    <row r="114" spans="1:4">
      <c r="A114" s="46">
        <v>46111</v>
      </c>
      <c r="B114" s="122"/>
      <c r="C114" s="114"/>
      <c r="D114" s="119"/>
    </row>
    <row r="115" spans="1:4">
      <c r="A115" s="46">
        <v>46097</v>
      </c>
      <c r="B115" s="32" t="s">
        <v>560</v>
      </c>
      <c r="C115" s="34" t="s">
        <v>561</v>
      </c>
      <c r="D115" s="23">
        <v>5850</v>
      </c>
    </row>
    <row r="116" spans="1:4">
      <c r="A116" s="46">
        <v>46107</v>
      </c>
      <c r="B116" s="122" t="s">
        <v>565</v>
      </c>
      <c r="C116" s="114" t="s">
        <v>566</v>
      </c>
      <c r="D116" s="119">
        <v>8700</v>
      </c>
    </row>
    <row r="117" spans="1:4">
      <c r="A117" s="46">
        <v>46109</v>
      </c>
      <c r="B117" s="122"/>
      <c r="C117" s="114"/>
      <c r="D117" s="119"/>
    </row>
    <row r="118" spans="1:4">
      <c r="A118" s="46">
        <v>46108</v>
      </c>
      <c r="B118" s="122" t="s">
        <v>586</v>
      </c>
      <c r="C118" s="114" t="s">
        <v>587</v>
      </c>
      <c r="D118" s="119">
        <v>27000</v>
      </c>
    </row>
    <row r="119" spans="1:4">
      <c r="A119" s="46">
        <v>46111</v>
      </c>
      <c r="B119" s="122"/>
      <c r="C119" s="114"/>
      <c r="D119" s="119"/>
    </row>
    <row r="120" spans="1:4">
      <c r="A120" s="46">
        <v>46108</v>
      </c>
      <c r="B120" s="32" t="s">
        <v>590</v>
      </c>
      <c r="C120" s="34" t="s">
        <v>591</v>
      </c>
      <c r="D120" s="23">
        <v>7500</v>
      </c>
    </row>
    <row r="121" spans="1:4">
      <c r="A121" s="46">
        <v>46106</v>
      </c>
      <c r="B121" s="122" t="s">
        <v>610</v>
      </c>
      <c r="C121" s="114" t="s">
        <v>611</v>
      </c>
      <c r="D121" s="119">
        <v>28900</v>
      </c>
    </row>
    <row r="122" spans="1:4">
      <c r="A122" s="46">
        <v>46108</v>
      </c>
      <c r="B122" s="122"/>
      <c r="C122" s="114"/>
      <c r="D122" s="119"/>
    </row>
    <row r="123" spans="1:4">
      <c r="A123" s="46">
        <v>46109</v>
      </c>
      <c r="B123" s="32" t="s">
        <v>632</v>
      </c>
      <c r="C123" s="34" t="s">
        <v>633</v>
      </c>
      <c r="D123" s="23">
        <v>25000</v>
      </c>
    </row>
    <row r="124" spans="1:4">
      <c r="A124" s="46">
        <v>46090</v>
      </c>
      <c r="B124" s="122" t="s">
        <v>647</v>
      </c>
      <c r="C124" s="114" t="s">
        <v>648</v>
      </c>
      <c r="D124" s="119">
        <v>250600</v>
      </c>
    </row>
    <row r="125" spans="1:4">
      <c r="A125" s="46">
        <v>46109</v>
      </c>
      <c r="B125" s="122"/>
      <c r="C125" s="114"/>
      <c r="D125" s="119"/>
    </row>
    <row r="126" spans="1:4">
      <c r="A126" s="46">
        <v>46107</v>
      </c>
      <c r="B126" s="32" t="s">
        <v>653</v>
      </c>
      <c r="C126" s="34" t="s">
        <v>654</v>
      </c>
      <c r="D126" s="23">
        <v>1702.5</v>
      </c>
    </row>
    <row r="127" spans="1:4" ht="22.5">
      <c r="A127" s="46">
        <v>46083</v>
      </c>
      <c r="B127" s="32" t="s">
        <v>655</v>
      </c>
      <c r="C127" s="34" t="s">
        <v>656</v>
      </c>
      <c r="D127" s="23">
        <v>18300</v>
      </c>
    </row>
    <row r="128" spans="1:4" ht="22.5">
      <c r="A128" s="46">
        <v>46111</v>
      </c>
      <c r="B128" s="32" t="s">
        <v>687</v>
      </c>
      <c r="C128" s="34" t="s">
        <v>688</v>
      </c>
      <c r="D128" s="23">
        <v>18900</v>
      </c>
    </row>
    <row r="129" spans="1:4">
      <c r="A129" s="46">
        <v>46108</v>
      </c>
      <c r="B129" s="32" t="s">
        <v>689</v>
      </c>
      <c r="C129" s="34" t="s">
        <v>690</v>
      </c>
      <c r="D129" s="23">
        <v>46200</v>
      </c>
    </row>
    <row r="130" spans="1:4">
      <c r="A130" s="46">
        <v>46086</v>
      </c>
      <c r="B130" s="32" t="s">
        <v>693</v>
      </c>
      <c r="C130" s="34" t="s">
        <v>694</v>
      </c>
      <c r="D130" s="23">
        <v>1660</v>
      </c>
    </row>
    <row r="131" spans="1:4">
      <c r="A131" s="46">
        <v>46094</v>
      </c>
      <c r="B131" s="32" t="s">
        <v>705</v>
      </c>
      <c r="C131" s="34" t="s">
        <v>706</v>
      </c>
      <c r="D131" s="23">
        <v>2275</v>
      </c>
    </row>
    <row r="132" spans="1:4">
      <c r="A132" s="46">
        <v>46083</v>
      </c>
      <c r="B132" s="32" t="s">
        <v>723</v>
      </c>
      <c r="C132" s="34" t="s">
        <v>724</v>
      </c>
      <c r="D132" s="23">
        <v>6960</v>
      </c>
    </row>
    <row r="133" spans="1:4">
      <c r="A133" s="46">
        <v>46104</v>
      </c>
      <c r="B133" s="32" t="s">
        <v>727</v>
      </c>
      <c r="C133" s="34" t="s">
        <v>728</v>
      </c>
      <c r="D133" s="23">
        <v>9300</v>
      </c>
    </row>
    <row r="134" spans="1:4">
      <c r="A134" s="46">
        <v>46112</v>
      </c>
      <c r="B134" s="122" t="s">
        <v>740</v>
      </c>
      <c r="C134" s="114" t="s">
        <v>741</v>
      </c>
      <c r="D134" s="119">
        <v>203890</v>
      </c>
    </row>
    <row r="135" spans="1:4">
      <c r="A135" s="46">
        <v>46112</v>
      </c>
      <c r="B135" s="122"/>
      <c r="C135" s="114"/>
      <c r="D135" s="119"/>
    </row>
    <row r="136" spans="1:4">
      <c r="A136" s="46">
        <v>46105</v>
      </c>
      <c r="B136" s="32" t="s">
        <v>747</v>
      </c>
      <c r="C136" s="34" t="s">
        <v>748</v>
      </c>
      <c r="D136" s="23">
        <v>18750</v>
      </c>
    </row>
    <row r="137" spans="1:4">
      <c r="A137" s="46">
        <v>46097</v>
      </c>
      <c r="B137" s="122" t="s">
        <v>756</v>
      </c>
      <c r="C137" s="114" t="s">
        <v>757</v>
      </c>
      <c r="D137" s="119">
        <v>47100</v>
      </c>
    </row>
    <row r="138" spans="1:4">
      <c r="A138" s="46">
        <v>46097</v>
      </c>
      <c r="B138" s="122"/>
      <c r="C138" s="114"/>
      <c r="D138" s="119"/>
    </row>
    <row r="139" spans="1:4">
      <c r="A139" s="46">
        <v>46099</v>
      </c>
      <c r="B139" s="122"/>
      <c r="C139" s="114"/>
      <c r="D139" s="119"/>
    </row>
    <row r="140" spans="1:4">
      <c r="A140" s="46">
        <v>46112</v>
      </c>
      <c r="B140" s="32" t="s">
        <v>760</v>
      </c>
      <c r="C140" s="34" t="s">
        <v>761</v>
      </c>
      <c r="D140" s="23">
        <v>75300</v>
      </c>
    </row>
    <row r="141" spans="1:4">
      <c r="A141" s="46">
        <v>46106</v>
      </c>
      <c r="B141" s="32" t="s">
        <v>774</v>
      </c>
      <c r="C141" s="34" t="s">
        <v>775</v>
      </c>
      <c r="D141" s="23">
        <v>4375</v>
      </c>
    </row>
    <row r="142" spans="1:4">
      <c r="A142" s="46">
        <v>46086</v>
      </c>
      <c r="B142" s="122" t="s">
        <v>776</v>
      </c>
      <c r="C142" s="114" t="s">
        <v>777</v>
      </c>
      <c r="D142" s="119">
        <v>253180</v>
      </c>
    </row>
    <row r="143" spans="1:4">
      <c r="A143" s="46">
        <v>46088</v>
      </c>
      <c r="B143" s="122"/>
      <c r="C143" s="114"/>
      <c r="D143" s="119"/>
    </row>
    <row r="144" spans="1:4">
      <c r="A144" s="46">
        <v>46094</v>
      </c>
      <c r="B144" s="122"/>
      <c r="C144" s="114"/>
      <c r="D144" s="119"/>
    </row>
    <row r="145" spans="1:4">
      <c r="A145" s="46">
        <v>46102</v>
      </c>
      <c r="B145" s="122"/>
      <c r="C145" s="114"/>
      <c r="D145" s="119"/>
    </row>
    <row r="146" spans="1:4">
      <c r="A146" s="46">
        <v>46111</v>
      </c>
      <c r="B146" s="32" t="s">
        <v>786</v>
      </c>
      <c r="C146" s="34" t="s">
        <v>787</v>
      </c>
      <c r="D146" s="23">
        <v>54100</v>
      </c>
    </row>
    <row r="147" spans="1:4" ht="22.5">
      <c r="A147" s="46">
        <v>46111</v>
      </c>
      <c r="B147" s="32" t="s">
        <v>925</v>
      </c>
      <c r="C147" s="34"/>
      <c r="D147" s="23">
        <v>2011124.9</v>
      </c>
    </row>
    <row r="148" spans="1:4">
      <c r="A148" s="46">
        <v>46084</v>
      </c>
      <c r="B148" s="122" t="s">
        <v>798</v>
      </c>
      <c r="C148" s="114" t="s">
        <v>799</v>
      </c>
      <c r="D148" s="119">
        <v>116400</v>
      </c>
    </row>
    <row r="149" spans="1:4">
      <c r="A149" s="46">
        <v>46086</v>
      </c>
      <c r="B149" s="122"/>
      <c r="C149" s="114"/>
      <c r="D149" s="119"/>
    </row>
    <row r="150" spans="1:4">
      <c r="A150" s="46">
        <v>46094</v>
      </c>
      <c r="B150" s="32" t="s">
        <v>800</v>
      </c>
      <c r="C150" s="34" t="s">
        <v>801</v>
      </c>
      <c r="D150" s="23">
        <v>39000</v>
      </c>
    </row>
    <row r="151" spans="1:4">
      <c r="A151" s="46">
        <v>46107</v>
      </c>
      <c r="B151" s="32" t="s">
        <v>841</v>
      </c>
      <c r="C151" s="34" t="s">
        <v>842</v>
      </c>
      <c r="D151" s="23">
        <v>2370</v>
      </c>
    </row>
    <row r="152" spans="1:4">
      <c r="A152" s="46">
        <v>46086</v>
      </c>
      <c r="B152" s="122" t="s">
        <v>851</v>
      </c>
      <c r="C152" s="114"/>
      <c r="D152" s="119">
        <v>6380</v>
      </c>
    </row>
    <row r="153" spans="1:4">
      <c r="A153" s="46">
        <v>46102</v>
      </c>
      <c r="B153" s="122"/>
      <c r="C153" s="114"/>
      <c r="D153" s="119"/>
    </row>
    <row r="154" spans="1:4">
      <c r="A154" s="46">
        <v>46092</v>
      </c>
      <c r="B154" s="32" t="s">
        <v>870</v>
      </c>
      <c r="C154" s="34" t="s">
        <v>871</v>
      </c>
      <c r="D154" s="23">
        <v>16622</v>
      </c>
    </row>
    <row r="155" spans="1:4">
      <c r="A155" s="46">
        <v>46102</v>
      </c>
      <c r="B155" s="32" t="s">
        <v>883</v>
      </c>
      <c r="C155" s="34"/>
      <c r="D155" s="23">
        <v>24000</v>
      </c>
    </row>
    <row r="156" spans="1:4">
      <c r="A156" s="46">
        <v>46098</v>
      </c>
      <c r="B156" s="32" t="s">
        <v>891</v>
      </c>
      <c r="C156" s="34"/>
      <c r="D156" s="23">
        <v>3100</v>
      </c>
    </row>
    <row r="157" spans="1:4">
      <c r="A157" s="47"/>
      <c r="B157" s="48" t="s">
        <v>918</v>
      </c>
      <c r="C157" s="34"/>
      <c r="D157" s="44">
        <f>SUM(D4:D156)</f>
        <v>10617865.279999999</v>
      </c>
    </row>
    <row r="159" spans="1:4">
      <c r="D159" s="58"/>
    </row>
  </sheetData>
  <sortState xmlns:xlrd2="http://schemas.microsoft.com/office/spreadsheetml/2017/richdata2" ref="A4:C156">
    <sortCondition ref="B4:B156"/>
  </sortState>
  <mergeCells count="89">
    <mergeCell ref="B148:B149"/>
    <mergeCell ref="C148:C149"/>
    <mergeCell ref="D148:D149"/>
    <mergeCell ref="B152:B153"/>
    <mergeCell ref="C152:C153"/>
    <mergeCell ref="D152:D153"/>
    <mergeCell ref="B137:B139"/>
    <mergeCell ref="C137:C139"/>
    <mergeCell ref="D137:D139"/>
    <mergeCell ref="B142:B145"/>
    <mergeCell ref="C142:C145"/>
    <mergeCell ref="D142:D145"/>
    <mergeCell ref="B124:B125"/>
    <mergeCell ref="C124:C125"/>
    <mergeCell ref="D124:D125"/>
    <mergeCell ref="B134:B135"/>
    <mergeCell ref="C134:C135"/>
    <mergeCell ref="D134:D135"/>
    <mergeCell ref="B118:B119"/>
    <mergeCell ref="C118:C119"/>
    <mergeCell ref="D118:D119"/>
    <mergeCell ref="B121:B122"/>
    <mergeCell ref="C121:C122"/>
    <mergeCell ref="D121:D122"/>
    <mergeCell ref="B113:B114"/>
    <mergeCell ref="C113:C114"/>
    <mergeCell ref="D113:D114"/>
    <mergeCell ref="B116:B117"/>
    <mergeCell ref="C116:C117"/>
    <mergeCell ref="D116:D117"/>
    <mergeCell ref="B100:B102"/>
    <mergeCell ref="C100:C102"/>
    <mergeCell ref="D100:D102"/>
    <mergeCell ref="B110:B112"/>
    <mergeCell ref="C110:C112"/>
    <mergeCell ref="D110:D112"/>
    <mergeCell ref="B81:B83"/>
    <mergeCell ref="C81:C83"/>
    <mergeCell ref="D81:D83"/>
    <mergeCell ref="B94:B96"/>
    <mergeCell ref="C94:C96"/>
    <mergeCell ref="D94:D96"/>
    <mergeCell ref="B76:B77"/>
    <mergeCell ref="C76:C77"/>
    <mergeCell ref="D76:D77"/>
    <mergeCell ref="B79:B80"/>
    <mergeCell ref="C79:C80"/>
    <mergeCell ref="D79:D80"/>
    <mergeCell ref="B66:B69"/>
    <mergeCell ref="C66:C69"/>
    <mergeCell ref="D66:D69"/>
    <mergeCell ref="B72:B73"/>
    <mergeCell ref="C72:C73"/>
    <mergeCell ref="D72:D73"/>
    <mergeCell ref="B56:B57"/>
    <mergeCell ref="C56:C57"/>
    <mergeCell ref="D56:D57"/>
    <mergeCell ref="B62:B65"/>
    <mergeCell ref="C62:C65"/>
    <mergeCell ref="D62:D65"/>
    <mergeCell ref="B46:B47"/>
    <mergeCell ref="C46:C47"/>
    <mergeCell ref="D46:D47"/>
    <mergeCell ref="B48:B53"/>
    <mergeCell ref="D48:D53"/>
    <mergeCell ref="C48:C53"/>
    <mergeCell ref="B38:B40"/>
    <mergeCell ref="C38:C40"/>
    <mergeCell ref="D38:D40"/>
    <mergeCell ref="B41:B42"/>
    <mergeCell ref="C41:C42"/>
    <mergeCell ref="D41:D42"/>
    <mergeCell ref="B21:B31"/>
    <mergeCell ref="C21:C31"/>
    <mergeCell ref="D21:D31"/>
    <mergeCell ref="B32:B37"/>
    <mergeCell ref="C32:C37"/>
    <mergeCell ref="D32:D37"/>
    <mergeCell ref="B10:B12"/>
    <mergeCell ref="C10:C12"/>
    <mergeCell ref="D10:D12"/>
    <mergeCell ref="B15:B16"/>
    <mergeCell ref="C15:C16"/>
    <mergeCell ref="D15:D16"/>
    <mergeCell ref="A1:B1"/>
    <mergeCell ref="A2:B2"/>
    <mergeCell ref="B4:B5"/>
    <mergeCell ref="C4:C5"/>
    <mergeCell ref="D4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2026-04-04T08:51:51Z</dcterms:created>
  <dcterms:modified xsi:type="dcterms:W3CDTF">2026-04-06T13:16:44Z</dcterms:modified>
  <cp:category/>
  <cp:contentStatus/>
</cp:coreProperties>
</file>